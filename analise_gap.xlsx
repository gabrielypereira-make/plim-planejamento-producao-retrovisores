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pereira\Downloads\tcc-plim-planejamento-produção-retrovisores\"/>
    </mc:Choice>
  </mc:AlternateContent>
  <xr:revisionPtr revIDLastSave="1" documentId="13_ncr:1_{BCDEF7B5-FCF6-4CFA-8BA1-0F0C8DB39CAF}" xr6:coauthVersionLast="47" xr6:coauthVersionMax="47" xr10:uidLastSave="{E10F7DED-AF7F-4618-A914-B64CEDBFA94D}"/>
  <bookViews>
    <workbookView xWindow="-110" yWindow="-110" windowWidth="19420" windowHeight="10300" xr2:uid="{00000000-000D-0000-FFFF-FFFF00000000}"/>
  </bookViews>
  <sheets>
    <sheet name="Sheet1" sheetId="1" r:id="rId1"/>
    <sheet name="Planilha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5" i="2"/>
  <c r="L6" i="2"/>
  <c r="L7" i="2"/>
  <c r="L9" i="2"/>
</calcChain>
</file>

<file path=xl/sharedStrings.xml><?xml version="1.0" encoding="utf-8"?>
<sst xmlns="http://schemas.openxmlformats.org/spreadsheetml/2006/main" count="237" uniqueCount="40">
  <si>
    <t>Cenário (gap)</t>
  </si>
  <si>
    <t>Data do planejamento</t>
  </si>
  <si>
    <t>Tempo fase 1 (s)</t>
  </si>
  <si>
    <t>Tempo fase 2 (s)</t>
  </si>
  <si>
    <t>Tempo total processamento (s)</t>
  </si>
  <si>
    <t>Tempo de produção (h)</t>
  </si>
  <si>
    <t>Tempo de setup (h)</t>
  </si>
  <si>
    <t>Tempo total utilizado (h)</t>
  </si>
  <si>
    <t>Quantidade de setups</t>
  </si>
  <si>
    <t>Z1: Atraso no horizonte (lotes)</t>
  </si>
  <si>
    <t>Z2: Desvio do estoque alvo (lotes)</t>
  </si>
  <si>
    <t>Status da convergência</t>
  </si>
  <si>
    <t>02/02/2026</t>
  </si>
  <si>
    <t>Optimal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</si>
  <si>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</si>
  <si>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</si>
  <si>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</si>
  <si>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</si>
  <si>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</si>
  <si>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</si>
  <si>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</si>
  <si>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</si>
  <si>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</si>
  <si>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</si>
  <si>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</si>
  <si>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</si>
  <si>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</si>
  <si>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</si>
  <si>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</si>
  <si>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</si>
  <si>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</si>
  <si>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Soma de Tempo total processamento (s)</t>
  </si>
  <si>
    <t>Rótulos de Linha</t>
  </si>
  <si>
    <t>Total Geral</t>
  </si>
  <si>
    <t>Soma de Z1: Atraso no horizonte (lotes)</t>
  </si>
  <si>
    <t>Soma de Z2: Desvio do estoque alvo (lotes)</t>
  </si>
  <si>
    <t>Gap</t>
  </si>
  <si>
    <t>∑ Tempo de processamento (s)</t>
  </si>
  <si>
    <t>∑ Z1: Atraso no horizonte (lotes)</t>
  </si>
  <si>
    <t>∑ Z2: Desvio do estoque alvo (lotes)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</si>
</sst>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9" fontId="0" fillId="0" borderId="0" xfId="0" pivotButton="1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2" fontId="2" fillId="0" borderId="0" xfId="0" applyNumberFormat="1" applyFont="1" applyAlignment="1">
      <alignment horizontal="left"/>
    </xf>
    <xf numFmtId="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" fontId="2" fillId="0" borderId="2" xfId="0" applyNumberFormat="1" applyFont="1" applyBorder="1" applyAlignment="1">
      <alignment horizontal="left" vertical="center"/>
    </xf>
    <xf numFmtId="2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2"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ística SRS  (Gabriely Amanda)" refreshedDate="46133.402299305555" createdVersion="8" refreshedVersion="8" minRefreshableVersion="3" recordCount="108" xr:uid="{4127B3FF-90C5-4D01-B41E-AF5BDF806A8F}">
  <cacheSource type="worksheet">
    <worksheetSource ref="A1:L109" sheet="Sheet1"/>
  </cacheSource>
  <cacheFields count="12">
    <cacheField name="Cenário (gap)" numFmtId="0">
      <sharedItems containsSemiMixedTypes="0" containsString="0" containsNumber="1" minValue="0.1" maxValue="0.15" count="6">
        <n v="0.1"/>
        <n v="0.11"/>
        <n v="0.12"/>
        <n v="0.13"/>
        <n v="0.14000000000000001"/>
        <n v="0.15"/>
      </sharedItems>
    </cacheField>
    <cacheField name="Data do planejamento" numFmtId="0">
      <sharedItems/>
    </cacheField>
    <cacheField name="Tempo fase 1 (s)" numFmtId="0">
      <sharedItems containsSemiMixedTypes="0" containsString="0" containsNumber="1" minValue="0.1124" maxValue="0.94"/>
    </cacheField>
    <cacheField name="Tempo fase 2 (s)" numFmtId="0">
      <sharedItems containsSemiMixedTypes="0" containsString="0" containsNumber="1" minValue="0.3" maxValue="1017.5421"/>
    </cacheField>
    <cacheField name="Tempo total processamento (s)" numFmtId="0">
      <sharedItems containsSemiMixedTypes="0" containsString="0" containsNumber="1" minValue="0.51680000000000004" maxValue="1017.7474"/>
    </cacheField>
    <cacheField name="Tempo de produção (h)" numFmtId="0">
      <sharedItems containsSemiMixedTypes="0" containsString="0" containsNumber="1" minValue="7.1310000000000002" maxValue="7.8575999999999997"/>
    </cacheField>
    <cacheField name="Tempo de setup (h)" numFmtId="0">
      <sharedItems containsSemiMixedTypes="0" containsString="0" containsNumber="1" minValue="0.33339999999999997" maxValue="0.83350000000000002"/>
    </cacheField>
    <cacheField name="Tempo total utilizado (h)" numFmtId="0">
      <sharedItems containsSemiMixedTypes="0" containsString="0" containsNumber="1" minValue="7.8409000000000004" maxValue="8.2181999999999995"/>
    </cacheField>
    <cacheField name="Quantidade de setups" numFmtId="0">
      <sharedItems containsSemiMixedTypes="0" containsString="0" containsNumber="1" containsInteger="1" minValue="2" maxValue="5"/>
    </cacheField>
    <cacheField name="Z1: Atraso no horizonte (lotes)" numFmtId="0">
      <sharedItems containsSemiMixedTypes="0" containsString="0" containsNumber="1" containsInteger="1" minValue="0" maxValue="0"/>
    </cacheField>
    <cacheField name="Z2: Desvio do estoque alvo (lotes)" numFmtId="0">
      <sharedItems containsSemiMixedTypes="0" containsString="0" containsNumber="1" minValue="50.624400000000001" maxValue="198.31190000000001"/>
    </cacheField>
    <cacheField name="Status da convergênc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02/02/2026"/>
    <n v="0.2344"/>
    <n v="65.374099999999999"/>
    <n v="65.643199999999993"/>
    <n v="7.4335000000000004"/>
    <n v="0.66679999999999995"/>
    <n v="8.1003000000000007"/>
    <n v="4"/>
    <n v="0"/>
    <n v="195.37440000000001"/>
    <s v="Optimal"/>
  </r>
  <r>
    <x v="0"/>
    <s v="03/02/2026"/>
    <n v="0.20810000000000001"/>
    <n v="14.0953"/>
    <n v="14.3581"/>
    <n v="7.5137999999999998"/>
    <n v="0.66679999999999995"/>
    <n v="8.1806000000000001"/>
    <n v="4"/>
    <n v="0"/>
    <n v="186.99940000000001"/>
    <s v="Optimal"/>
  </r>
  <r>
    <x v="0"/>
    <s v="04/02/2026"/>
    <n v="0.29649999999999999"/>
    <n v="1.3280000000000001"/>
    <n v="1.6845000000000001"/>
    <n v="7.5355999999999996"/>
    <n v="0.66679999999999995"/>
    <n v="8.2024000000000008"/>
    <n v="4"/>
    <n v="0"/>
    <n v="174.24940000000001"/>
    <s v="Optimal"/>
  </r>
  <r>
    <x v="0"/>
    <s v="05/02/2026"/>
    <n v="0.22839999999999999"/>
    <n v="4.0487000000000002"/>
    <n v="4.3243999999999998"/>
    <n v="7.7061000000000002"/>
    <n v="0.50009999999999999"/>
    <n v="8.2062000000000008"/>
    <n v="3"/>
    <n v="0"/>
    <n v="166.49940000000001"/>
    <s v="Optimal"/>
  </r>
  <r>
    <x v="0"/>
    <s v="06/02/2026"/>
    <n v="0.18190000000000001"/>
    <n v="20.0884"/>
    <n v="20.316099999999999"/>
    <n v="7.7069999999999999"/>
    <n v="0.50009999999999999"/>
    <n v="8.2071000000000005"/>
    <n v="3"/>
    <n v="0"/>
    <n v="165.24940000000001"/>
    <s v="Optimal"/>
  </r>
  <r>
    <x v="0"/>
    <s v="09/02/2026"/>
    <n v="0.19359999999999999"/>
    <n v="25.817499999999999"/>
    <n v="26.0517"/>
    <n v="7.8575999999999997"/>
    <n v="0.33339999999999997"/>
    <n v="8.1910000000000007"/>
    <n v="2"/>
    <n v="0"/>
    <n v="174.43690000000001"/>
    <s v="Optimal"/>
  </r>
  <r>
    <x v="0"/>
    <s v="10/02/2026"/>
    <n v="0.27679999999999999"/>
    <n v="32.254899999999999"/>
    <n v="32.571100000000001"/>
    <n v="7.5137999999999998"/>
    <n v="0.66679999999999995"/>
    <n v="8.1806000000000001"/>
    <n v="4"/>
    <n v="0"/>
    <n v="175.93690000000001"/>
    <s v="Optimal"/>
  </r>
  <r>
    <x v="0"/>
    <s v="11/02/2026"/>
    <n v="0.20780000000000001"/>
    <n v="17.976900000000001"/>
    <n v="18.2193"/>
    <n v="7.7069999999999999"/>
    <n v="0.50009999999999999"/>
    <n v="8.2071000000000005"/>
    <n v="3"/>
    <n v="0"/>
    <n v="170.06190000000001"/>
    <s v="Optimal"/>
  </r>
  <r>
    <x v="0"/>
    <s v="12/02/2026"/>
    <n v="0.32540000000000002"/>
    <n v="25.083300000000001"/>
    <n v="25.450700000000001"/>
    <n v="7.3509000000000002"/>
    <n v="0.83350000000000002"/>
    <n v="8.1844000000000001"/>
    <n v="5"/>
    <n v="0"/>
    <n v="172.43690000000001"/>
    <s v="Optimal"/>
  </r>
  <r>
    <x v="0"/>
    <s v="13/02/2026"/>
    <n v="0.21629999999999999"/>
    <n v="43.186599999999999"/>
    <n v="43.429499999999997"/>
    <n v="7.3064999999999998"/>
    <n v="0.83350000000000002"/>
    <n v="8.14"/>
    <n v="5"/>
    <n v="0"/>
    <n v="152.49940000000001"/>
    <s v="Optimal"/>
  </r>
  <r>
    <x v="0"/>
    <s v="18/02/2026"/>
    <n v="0.42249999999999999"/>
    <n v="47.11"/>
    <n v="47.5871"/>
    <n v="7.3257000000000003"/>
    <n v="0.83350000000000002"/>
    <n v="8.1592000000000002"/>
    <n v="5"/>
    <n v="0"/>
    <n v="130.12440000000001"/>
    <s v="Optimal"/>
  </r>
  <r>
    <x v="0"/>
    <s v="19/02/2026"/>
    <n v="0.26800000000000002"/>
    <n v="46.903300000000002"/>
    <n v="47.203400000000002"/>
    <n v="7.3137999999999996"/>
    <n v="0.83350000000000002"/>
    <n v="8.1472999999999995"/>
    <n v="5"/>
    <n v="0"/>
    <n v="109.31189999999999"/>
    <s v="Optimal"/>
  </r>
  <r>
    <x v="0"/>
    <s v="20/02/2026"/>
    <n v="0.46879999999999999"/>
    <n v="315.6465"/>
    <n v="316.16079999999999"/>
    <n v="7.3681999999999999"/>
    <n v="0.83350000000000002"/>
    <n v="8.2017000000000007"/>
    <n v="5"/>
    <n v="0"/>
    <n v="96.811899999999994"/>
    <s v="Optimal"/>
  </r>
  <r>
    <x v="0"/>
    <s v="23/02/2026"/>
    <n v="0.28489999999999999"/>
    <n v="27.8249"/>
    <n v="28.141999999999999"/>
    <n v="7.6775000000000002"/>
    <n v="0.50009999999999999"/>
    <n v="8.1776"/>
    <n v="3"/>
    <n v="0"/>
    <n v="87.436899999999994"/>
    <s v="Optimal"/>
  </r>
  <r>
    <x v="0"/>
    <s v="24/02/2026"/>
    <n v="0.19"/>
    <n v="364.99270000000001"/>
    <n v="365.21390000000002"/>
    <n v="7.3207000000000004"/>
    <n v="0.83350000000000002"/>
    <n v="8.1541999999999994"/>
    <n v="5"/>
    <n v="0"/>
    <n v="101.43689999999999"/>
    <s v="Optimal"/>
  </r>
  <r>
    <x v="0"/>
    <s v="25/02/2026"/>
    <n v="0.1457"/>
    <n v="25.203900000000001"/>
    <n v="25.372599999999998"/>
    <n v="7.3651"/>
    <n v="0.83350000000000002"/>
    <n v="8.1986000000000008"/>
    <n v="5"/>
    <n v="0"/>
    <n v="84.124399999999994"/>
    <s v="Optimal"/>
  </r>
  <r>
    <x v="0"/>
    <s v="26/02/2026"/>
    <n v="0.35249999999999998"/>
    <n v="0.97240000000000004"/>
    <n v="1.347"/>
    <n v="7.3708"/>
    <n v="0.83350000000000002"/>
    <n v="8.2042999999999999"/>
    <n v="5"/>
    <n v="0"/>
    <n v="73.061899999999994"/>
    <s v="Optimal"/>
  </r>
  <r>
    <x v="0"/>
    <s v="27/02/2026"/>
    <n v="0.13400000000000001"/>
    <n v="0.4995"/>
    <n v="0.72199999999999998"/>
    <n v="7.3160999999999996"/>
    <n v="0.83350000000000002"/>
    <n v="8.1495999999999995"/>
    <n v="5"/>
    <n v="0"/>
    <n v="53.25"/>
    <s v="Optimal"/>
  </r>
  <r>
    <x v="1"/>
    <s v="02/02/2026"/>
    <n v="0.23680000000000001"/>
    <n v="29.671399999999998"/>
    <n v="29.941800000000001"/>
    <n v="7.3822000000000001"/>
    <n v="0.83350000000000002"/>
    <n v="8.2157"/>
    <n v="5"/>
    <n v="0"/>
    <n v="198.06190000000001"/>
    <s v="Optimal"/>
  </r>
  <r>
    <x v="1"/>
    <s v="03/02/2026"/>
    <n v="0.24779999999999999"/>
    <n v="0.82869999999999999"/>
    <n v="1.1277999999999999"/>
    <n v="7.3772000000000002"/>
    <n v="0.66679999999999995"/>
    <n v="8.0440000000000005"/>
    <n v="4"/>
    <n v="0"/>
    <n v="188.18690000000001"/>
    <s v="Optimal"/>
  </r>
  <r>
    <x v="1"/>
    <s v="04/02/2026"/>
    <n v="0.23"/>
    <n v="0.4279"/>
    <n v="0.69579999999999997"/>
    <n v="7.5235000000000003"/>
    <n v="0.66679999999999995"/>
    <n v="8.1903000000000006"/>
    <n v="4"/>
    <n v="0"/>
    <n v="180.43690000000001"/>
    <s v="Optimal"/>
  </r>
  <r>
    <x v="1"/>
    <s v="05/02/2026"/>
    <n v="0.21110000000000001"/>
    <n v="1.3761000000000001"/>
    <n v="1.6074999999999999"/>
    <n v="7.7061000000000002"/>
    <n v="0.50009999999999999"/>
    <n v="8.2062000000000008"/>
    <n v="3"/>
    <n v="0"/>
    <n v="172.56190000000001"/>
    <s v="Optimal"/>
  </r>
  <r>
    <x v="1"/>
    <s v="06/02/2026"/>
    <n v="0.2296"/>
    <n v="1.1392"/>
    <n v="1.4098999999999999"/>
    <n v="7.8166000000000002"/>
    <n v="0.33339999999999997"/>
    <n v="8.15"/>
    <n v="2"/>
    <n v="0"/>
    <n v="173.74940000000001"/>
    <s v="Optimal"/>
  </r>
  <r>
    <x v="1"/>
    <s v="09/02/2026"/>
    <n v="0.68530000000000002"/>
    <n v="8.74"/>
    <n v="9.4513999999999996"/>
    <n v="7.5113000000000003"/>
    <n v="0.66679999999999995"/>
    <n v="8.1781000000000006"/>
    <n v="4"/>
    <n v="0"/>
    <n v="176.18690000000001"/>
    <s v="Optimal"/>
  </r>
  <r>
    <x v="1"/>
    <s v="10/02/2026"/>
    <n v="0.1724"/>
    <n v="3.0706000000000002"/>
    <n v="3.2612000000000001"/>
    <n v="7.6896000000000004"/>
    <n v="0.50009999999999999"/>
    <n v="8.1897000000000002"/>
    <n v="3"/>
    <n v="0"/>
    <n v="184.56190000000001"/>
    <s v="Optimal"/>
  </r>
  <r>
    <x v="1"/>
    <s v="11/02/2026"/>
    <n v="0.16669999999999999"/>
    <n v="41.921300000000002"/>
    <n v="42.116199999999999"/>
    <n v="7.6775000000000002"/>
    <n v="0.50009999999999999"/>
    <n v="8.1776"/>
    <n v="3"/>
    <n v="0"/>
    <n v="178.06190000000001"/>
    <s v="Optimal"/>
  </r>
  <r>
    <x v="1"/>
    <s v="12/02/2026"/>
    <n v="0.37890000000000001"/>
    <n v="6.9771000000000001"/>
    <n v="7.3994"/>
    <n v="7.3630000000000004"/>
    <n v="0.83350000000000002"/>
    <n v="8.1965000000000003"/>
    <n v="5"/>
    <n v="0"/>
    <n v="174.87440000000001"/>
    <s v="Optimal"/>
  </r>
  <r>
    <x v="1"/>
    <s v="13/02/2026"/>
    <n v="0.2722"/>
    <n v="19.773599999999998"/>
    <n v="20.0776"/>
    <n v="7.3750999999999998"/>
    <n v="0.83350000000000002"/>
    <n v="8.2086000000000006"/>
    <n v="5"/>
    <n v="0"/>
    <n v="154.74940000000001"/>
    <s v="Optimal"/>
  </r>
  <r>
    <x v="1"/>
    <s v="18/02/2026"/>
    <n v="0.34570000000000001"/>
    <n v="13.206"/>
    <n v="13.5969"/>
    <n v="7.5353000000000003"/>
    <n v="0.66679999999999995"/>
    <n v="8.2020999999999997"/>
    <n v="4"/>
    <n v="0"/>
    <n v="132.62440000000001"/>
    <s v="Optimal"/>
  </r>
  <r>
    <x v="1"/>
    <s v="19/02/2026"/>
    <n v="0.34670000000000001"/>
    <n v="50.490900000000003"/>
    <n v="50.879399999999997"/>
    <n v="7.5407999999999999"/>
    <n v="0.66679999999999995"/>
    <n v="8.2075999999999993"/>
    <n v="4"/>
    <n v="0"/>
    <n v="107.68689999999999"/>
    <s v="Optimal"/>
  </r>
  <r>
    <x v="1"/>
    <s v="20/02/2026"/>
    <n v="0.31280000000000002"/>
    <n v="23.247399999999999"/>
    <n v="23.610099999999999"/>
    <n v="7.3779000000000003"/>
    <n v="0.83350000000000002"/>
    <n v="8.2113999999999994"/>
    <n v="5"/>
    <n v="0"/>
    <n v="92.561899999999994"/>
    <s v="Optimal"/>
  </r>
  <r>
    <x v="1"/>
    <s v="23/02/2026"/>
    <n v="0.1656"/>
    <n v="746.48829999999998"/>
    <n v="746.7038"/>
    <n v="7.7112999999999996"/>
    <n v="0.50009999999999999"/>
    <n v="8.2113999999999994"/>
    <n v="3"/>
    <n v="0"/>
    <n v="89.749399999999994"/>
    <s v="Optimal"/>
  </r>
  <r>
    <x v="1"/>
    <s v="24/02/2026"/>
    <n v="0.15770000000000001"/>
    <n v="1017.5421"/>
    <n v="1017.7474"/>
    <n v="7.3597999999999999"/>
    <n v="0.83350000000000002"/>
    <n v="8.1933000000000007"/>
    <n v="5"/>
    <n v="0"/>
    <n v="99.374399999999994"/>
    <s v="Optimal"/>
  </r>
  <r>
    <x v="1"/>
    <s v="25/02/2026"/>
    <n v="0.22220000000000001"/>
    <n v="20.204999999999998"/>
    <n v="20.449400000000001"/>
    <n v="7.3510999999999997"/>
    <n v="0.83350000000000002"/>
    <n v="8.1845999999999997"/>
    <n v="5"/>
    <n v="0"/>
    <n v="82.499399999999994"/>
    <s v="Optimal"/>
  </r>
  <r>
    <x v="1"/>
    <s v="26/02/2026"/>
    <n v="0.2054"/>
    <n v="1.5804"/>
    <n v="1.8099000000000001"/>
    <n v="7.2751000000000001"/>
    <n v="0.83350000000000002"/>
    <n v="8.1085999999999991"/>
    <n v="5"/>
    <n v="0"/>
    <n v="70.061899999999994"/>
    <s v="Optimal"/>
  </r>
  <r>
    <x v="1"/>
    <s v="27/02/2026"/>
    <n v="0.32340000000000002"/>
    <n v="0.41699999999999998"/>
    <n v="0.7621"/>
    <n v="7.3647999999999998"/>
    <n v="0.83350000000000002"/>
    <n v="8.1982999999999997"/>
    <n v="5"/>
    <n v="0"/>
    <n v="50.624400000000001"/>
    <s v="Optimal"/>
  </r>
  <r>
    <x v="2"/>
    <s v="02/02/2026"/>
    <n v="0.19489999999999999"/>
    <n v="1.8831"/>
    <n v="2.1061000000000001"/>
    <n v="7.5335000000000001"/>
    <n v="0.66679999999999995"/>
    <n v="8.2003000000000004"/>
    <n v="4"/>
    <n v="0"/>
    <n v="198.31190000000001"/>
    <s v="Optimal"/>
  </r>
  <r>
    <x v="2"/>
    <s v="03/02/2026"/>
    <n v="0.15970000000000001"/>
    <n v="18.271899999999999"/>
    <n v="18.505400000000002"/>
    <n v="7.7112999999999996"/>
    <n v="0.50009999999999999"/>
    <n v="8.2113999999999994"/>
    <n v="3"/>
    <n v="0"/>
    <n v="183.62440000000001"/>
    <s v="Optimal"/>
  </r>
  <r>
    <x v="2"/>
    <s v="04/02/2026"/>
    <n v="0.2019"/>
    <n v="1.2605"/>
    <n v="1.4833000000000001"/>
    <n v="7.3772000000000002"/>
    <n v="0.83350000000000002"/>
    <n v="8.2106999999999992"/>
    <n v="5"/>
    <n v="0"/>
    <n v="177.81190000000001"/>
    <s v="Optimal"/>
  </r>
  <r>
    <x v="2"/>
    <s v="05/02/2026"/>
    <n v="0.15609999999999999"/>
    <n v="3.2039"/>
    <n v="3.3820000000000001"/>
    <n v="7.5061"/>
    <n v="0.66679999999999995"/>
    <n v="8.1729000000000003"/>
    <n v="4"/>
    <n v="0"/>
    <n v="167.81190000000001"/>
    <s v="Optimal"/>
  </r>
  <r>
    <x v="2"/>
    <s v="06/02/2026"/>
    <n v="0.159"/>
    <n v="1.0039"/>
    <n v="1.1809000000000001"/>
    <n v="7.6775000000000002"/>
    <n v="0.33339999999999997"/>
    <n v="8.0108999999999995"/>
    <n v="2"/>
    <n v="0"/>
    <n v="170.43690000000001"/>
    <s v="Optimal"/>
  </r>
  <r>
    <x v="2"/>
    <s v="09/02/2026"/>
    <n v="0.23430000000000001"/>
    <n v="1.2992999999999999"/>
    <n v="1.5390999999999999"/>
    <n v="7.4626000000000001"/>
    <n v="0.66679999999999995"/>
    <n v="8.1294000000000004"/>
    <n v="4"/>
    <n v="0"/>
    <n v="181.37440000000001"/>
    <s v="Optimal"/>
  </r>
  <r>
    <x v="2"/>
    <s v="10/02/2026"/>
    <n v="0.1671"/>
    <n v="11.223100000000001"/>
    <n v="11.4293"/>
    <n v="7.7088000000000001"/>
    <n v="0.50009999999999999"/>
    <n v="8.2088999999999999"/>
    <n v="3"/>
    <n v="0"/>
    <n v="182.99940000000001"/>
    <s v="Optimal"/>
  </r>
  <r>
    <x v="2"/>
    <s v="11/02/2026"/>
    <n v="0.1275"/>
    <n v="6.2786"/>
    <n v="6.4263000000000003"/>
    <n v="7.3704000000000001"/>
    <n v="0.83350000000000002"/>
    <n v="8.2039000000000009"/>
    <n v="5"/>
    <n v="0"/>
    <n v="173.18690000000001"/>
    <s v="Optimal"/>
  </r>
  <r>
    <x v="2"/>
    <s v="12/02/2026"/>
    <n v="0.19359999999999999"/>
    <n v="10.7294"/>
    <n v="10.9305"/>
    <n v="7.3021000000000003"/>
    <n v="0.83350000000000002"/>
    <n v="8.1356000000000002"/>
    <n v="5"/>
    <n v="0"/>
    <n v="176.81190000000001"/>
    <s v="Optimal"/>
  </r>
  <r>
    <x v="2"/>
    <s v="13/02/2026"/>
    <n v="0.40710000000000002"/>
    <n v="1.5707"/>
    <n v="2.0041000000000002"/>
    <n v="7.3846999999999996"/>
    <n v="0.83350000000000002"/>
    <n v="8.2181999999999995"/>
    <n v="5"/>
    <n v="0"/>
    <n v="162.18690000000001"/>
    <s v="Optimal"/>
  </r>
  <r>
    <x v="2"/>
    <s v="18/02/2026"/>
    <n v="0.2407"/>
    <n v="25.6572"/>
    <n v="25.920500000000001"/>
    <n v="7.3962000000000003"/>
    <n v="0.66679999999999995"/>
    <n v="8.0630000000000006"/>
    <n v="4"/>
    <n v="0"/>
    <n v="137.87440000000001"/>
    <s v="Optimal"/>
  </r>
  <r>
    <x v="2"/>
    <s v="19/02/2026"/>
    <n v="0.16539999999999999"/>
    <n v="7.6452"/>
    <n v="7.8303000000000003"/>
    <n v="7.3825000000000003"/>
    <n v="0.83350000000000002"/>
    <n v="8.2159999999999993"/>
    <n v="5"/>
    <n v="0"/>
    <n v="112.87439999999999"/>
    <s v="Optimal"/>
  </r>
  <r>
    <x v="2"/>
    <s v="20/02/2026"/>
    <n v="0.24740000000000001"/>
    <n v="11.468"/>
    <n v="11.7362"/>
    <n v="7.5285000000000002"/>
    <n v="0.66679999999999995"/>
    <n v="8.1952999999999996"/>
    <n v="4"/>
    <n v="0"/>
    <n v="104.62439999999999"/>
    <s v="Optimal"/>
  </r>
  <r>
    <x v="2"/>
    <s v="23/02/2026"/>
    <n v="0.15820000000000001"/>
    <n v="396.5641"/>
    <n v="396.7396"/>
    <n v="7.7069999999999999"/>
    <n v="0.50009999999999999"/>
    <n v="8.2071000000000005"/>
    <n v="3"/>
    <n v="0"/>
    <n v="97.999399999999994"/>
    <s v="Optimal"/>
  </r>
  <r>
    <x v="2"/>
    <s v="24/02/2026"/>
    <n v="0.1158"/>
    <n v="15.593999999999999"/>
    <n v="15.747"/>
    <n v="7.3110999999999997"/>
    <n v="0.83350000000000002"/>
    <n v="8.1446000000000005"/>
    <n v="5"/>
    <n v="0"/>
    <n v="106.56189999999999"/>
    <s v="Optimal"/>
  </r>
  <r>
    <x v="2"/>
    <s v="25/02/2026"/>
    <n v="0.2999"/>
    <n v="1.9987999999999999"/>
    <n v="2.3342999999999998"/>
    <n v="7.2946"/>
    <n v="0.83350000000000002"/>
    <n v="8.1280999999999999"/>
    <n v="5"/>
    <n v="0"/>
    <n v="89.686899999999994"/>
    <s v="Optimal"/>
  </r>
  <r>
    <x v="2"/>
    <s v="26/02/2026"/>
    <n v="0.2"/>
    <n v="31.8993"/>
    <n v="32.133200000000002"/>
    <n v="7.5213000000000001"/>
    <n v="0.66679999999999995"/>
    <n v="8.1881000000000004"/>
    <n v="4"/>
    <n v="0"/>
    <n v="78.749399999999994"/>
    <s v="Optimal"/>
  </r>
  <r>
    <x v="2"/>
    <s v="27/02/2026"/>
    <n v="0.24779999999999999"/>
    <n v="2.3119000000000001"/>
    <n v="2.5951"/>
    <n v="7.3750999999999998"/>
    <n v="0.83350000000000002"/>
    <n v="8.2086000000000006"/>
    <n v="5"/>
    <n v="0"/>
    <n v="51.6875"/>
    <s v="Optimal"/>
  </r>
  <r>
    <x v="3"/>
    <s v="02/02/2026"/>
    <n v="0.21640000000000001"/>
    <n v="1.8985000000000001"/>
    <n v="2.1675"/>
    <n v="7.5335000000000001"/>
    <n v="0.66679999999999995"/>
    <n v="8.2003000000000004"/>
    <n v="4"/>
    <n v="0"/>
    <n v="198.31190000000001"/>
    <s v="Optimal"/>
  </r>
  <r>
    <x v="3"/>
    <s v="03/02/2026"/>
    <n v="0.19089999999999999"/>
    <n v="2.7755999999999998"/>
    <n v="3.0144000000000002"/>
    <n v="7.7016999999999998"/>
    <n v="0.50009999999999999"/>
    <n v="8.2018000000000004"/>
    <n v="3"/>
    <n v="0"/>
    <n v="191.74940000000001"/>
    <s v="Optimal"/>
  </r>
  <r>
    <x v="3"/>
    <s v="04/02/2026"/>
    <n v="0.27010000000000001"/>
    <n v="1.1578999999999999"/>
    <n v="1.4599"/>
    <n v="7.4843000000000002"/>
    <n v="0.66679999999999995"/>
    <n v="8.1510999999999996"/>
    <n v="4"/>
    <n v="0"/>
    <n v="175.81190000000001"/>
    <s v="Optimal"/>
  </r>
  <r>
    <x v="3"/>
    <s v="05/02/2026"/>
    <n v="0.30430000000000001"/>
    <n v="0.37790000000000001"/>
    <n v="0.70399999999999996"/>
    <n v="7.5182000000000002"/>
    <n v="0.50009999999999999"/>
    <n v="8.0183"/>
    <n v="3"/>
    <n v="0"/>
    <n v="165.06190000000001"/>
    <s v="Optimal"/>
  </r>
  <r>
    <x v="3"/>
    <s v="06/02/2026"/>
    <n v="0.22109999999999999"/>
    <n v="1.1667000000000001"/>
    <n v="1.4351"/>
    <n v="7.3407999999999998"/>
    <n v="0.50009999999999999"/>
    <n v="7.8409000000000004"/>
    <n v="3"/>
    <n v="0"/>
    <n v="171.12440000000001"/>
    <s v="Optimal"/>
  </r>
  <r>
    <x v="3"/>
    <s v="09/02/2026"/>
    <n v="0.27610000000000001"/>
    <n v="1.1697"/>
    <n v="1.4856"/>
    <n v="7.5678999999999998"/>
    <n v="0.50009999999999999"/>
    <n v="8.0679999999999996"/>
    <n v="3"/>
    <n v="0"/>
    <n v="182.93690000000001"/>
    <s v="Optimal"/>
  </r>
  <r>
    <x v="3"/>
    <s v="10/02/2026"/>
    <n v="0.1953"/>
    <n v="35.087200000000003"/>
    <n v="35.345599999999997"/>
    <n v="7.3746999999999998"/>
    <n v="0.83350000000000002"/>
    <n v="8.2081999999999997"/>
    <n v="5"/>
    <n v="0"/>
    <n v="189.56190000000001"/>
    <s v="Optimal"/>
  </r>
  <r>
    <x v="3"/>
    <s v="11/02/2026"/>
    <n v="0.1852"/>
    <n v="2.6755"/>
    <n v="2.9100999999999999"/>
    <n v="7.6479999999999997"/>
    <n v="0.50009999999999999"/>
    <n v="8.1480999999999995"/>
    <n v="3"/>
    <n v="0"/>
    <n v="189.06190000000001"/>
    <s v="Optimal"/>
  </r>
  <r>
    <x v="3"/>
    <s v="12/02/2026"/>
    <n v="0.19570000000000001"/>
    <n v="14.424899999999999"/>
    <n v="14.643800000000001"/>
    <n v="7.3803999999999998"/>
    <n v="0.83350000000000002"/>
    <n v="8.2139000000000006"/>
    <n v="5"/>
    <n v="0"/>
    <n v="185.37440000000001"/>
    <s v="Optimal"/>
  </r>
  <r>
    <x v="3"/>
    <s v="13/02/2026"/>
    <n v="0.33150000000000002"/>
    <n v="1.3427"/>
    <n v="1.7303999999999999"/>
    <n v="7.3064999999999998"/>
    <n v="0.83350000000000002"/>
    <n v="8.14"/>
    <n v="5"/>
    <n v="0"/>
    <n v="167.12440000000001"/>
    <s v="Optimal"/>
  </r>
  <r>
    <x v="3"/>
    <s v="18/02/2026"/>
    <n v="0.307"/>
    <n v="27.103999999999999"/>
    <n v="27.487300000000001"/>
    <n v="7.5136000000000003"/>
    <n v="0.66679999999999995"/>
    <n v="8.1804000000000006"/>
    <n v="4"/>
    <n v="0"/>
    <n v="142.99940000000001"/>
    <s v="Optimal"/>
  </r>
  <r>
    <x v="3"/>
    <s v="19/02/2026"/>
    <n v="0.3473"/>
    <n v="5.4467999999999996"/>
    <n v="5.8122999999999996"/>
    <n v="7.3746999999999998"/>
    <n v="0.83350000000000002"/>
    <n v="8.2081999999999997"/>
    <n v="5"/>
    <n v="0"/>
    <n v="116.18689999999999"/>
    <s v="Optimal"/>
  </r>
  <r>
    <x v="3"/>
    <s v="20/02/2026"/>
    <n v="0.24709999999999999"/>
    <n v="246.38849999999999"/>
    <n v="246.64949999999999"/>
    <n v="7.3779000000000003"/>
    <n v="0.83350000000000002"/>
    <n v="8.2113999999999994"/>
    <n v="5"/>
    <n v="0"/>
    <n v="105.62439999999999"/>
    <s v="Optimal"/>
  </r>
  <r>
    <x v="3"/>
    <s v="23/02/2026"/>
    <n v="0.16170000000000001"/>
    <n v="49.634500000000003"/>
    <n v="49.866"/>
    <n v="7.4992000000000001"/>
    <n v="0.66679999999999995"/>
    <n v="8.1660000000000004"/>
    <n v="4"/>
    <n v="0"/>
    <n v="102.12439999999999"/>
    <s v="Optimal"/>
  </r>
  <r>
    <x v="3"/>
    <s v="24/02/2026"/>
    <n v="0.28360000000000002"/>
    <n v="268.5684"/>
    <n v="268.89240000000001"/>
    <n v="7.1310000000000002"/>
    <n v="0.83350000000000002"/>
    <n v="7.9645000000000001"/>
    <n v="5"/>
    <n v="0"/>
    <n v="115.12439999999999"/>
    <s v="Optimal"/>
  </r>
  <r>
    <x v="3"/>
    <s v="25/02/2026"/>
    <n v="0.1124"/>
    <n v="6.1315"/>
    <n v="6.2816999999999998"/>
    <n v="7.3606999999999996"/>
    <n v="0.83350000000000002"/>
    <n v="8.1942000000000004"/>
    <n v="5"/>
    <n v="0"/>
    <n v="99.061899999999994"/>
    <s v="Optimal"/>
  </r>
  <r>
    <x v="3"/>
    <s v="26/02/2026"/>
    <n v="0.16689999999999999"/>
    <n v="0.36620000000000003"/>
    <n v="0.56730000000000003"/>
    <n v="7.2968000000000002"/>
    <n v="0.83350000000000002"/>
    <n v="8.1303000000000001"/>
    <n v="5"/>
    <n v="0"/>
    <n v="85.499399999999994"/>
    <s v="Optimal"/>
  </r>
  <r>
    <x v="3"/>
    <s v="27/02/2026"/>
    <n v="0.1832"/>
    <n v="0.3"/>
    <n v="0.51680000000000004"/>
    <n v="7.3647999999999998"/>
    <n v="0.83350000000000002"/>
    <n v="8.1982999999999997"/>
    <n v="5"/>
    <n v="0"/>
    <n v="59.749400000000001"/>
    <s v="Optimal"/>
  </r>
  <r>
    <x v="4"/>
    <s v="02/02/2026"/>
    <n v="0.20050000000000001"/>
    <n v="1.9247000000000001"/>
    <n v="2.1781000000000001"/>
    <n v="7.5335000000000001"/>
    <n v="0.66679999999999995"/>
    <n v="8.2003000000000004"/>
    <n v="4"/>
    <n v="0"/>
    <n v="198.31190000000001"/>
    <s v="Optimal"/>
  </r>
  <r>
    <x v="4"/>
    <s v="03/02/2026"/>
    <n v="0.1754"/>
    <n v="2.7959999999999998"/>
    <n v="3.0044"/>
    <n v="7.7016999999999998"/>
    <n v="0.50009999999999999"/>
    <n v="8.2018000000000004"/>
    <n v="3"/>
    <n v="0"/>
    <n v="191.74940000000001"/>
    <s v="Optimal"/>
  </r>
  <r>
    <x v="4"/>
    <s v="04/02/2026"/>
    <n v="0.25330000000000003"/>
    <n v="0.9294"/>
    <n v="1.1988000000000001"/>
    <n v="7.6060999999999996"/>
    <n v="0.50009999999999999"/>
    <n v="8.1061999999999994"/>
    <n v="3"/>
    <n v="0"/>
    <n v="180.18690000000001"/>
    <s v="Optimal"/>
  </r>
  <r>
    <x v="4"/>
    <s v="05/02/2026"/>
    <n v="0.94"/>
    <n v="0.5867"/>
    <n v="1.5716000000000001"/>
    <n v="7.4843000000000002"/>
    <n v="0.66679999999999995"/>
    <n v="8.1510999999999996"/>
    <n v="4"/>
    <n v="0"/>
    <n v="171.74940000000001"/>
    <s v="Optimal"/>
  </r>
  <r>
    <x v="4"/>
    <s v="06/02/2026"/>
    <n v="0.17549999999999999"/>
    <n v="0.90290000000000004"/>
    <n v="1.1308"/>
    <n v="7.6287000000000003"/>
    <n v="0.50009999999999999"/>
    <n v="8.1288"/>
    <n v="3"/>
    <n v="0"/>
    <n v="169.87440000000001"/>
    <s v="Optimal"/>
  </r>
  <r>
    <x v="4"/>
    <s v="09/02/2026"/>
    <n v="0.18049999999999999"/>
    <n v="1.0733999999999999"/>
    <n v="1.31"/>
    <n v="7.5505000000000004"/>
    <n v="0.66679999999999995"/>
    <n v="8.2172999999999998"/>
    <n v="4"/>
    <n v="0"/>
    <n v="178.93690000000001"/>
    <s v="Optimal"/>
  </r>
  <r>
    <x v="4"/>
    <s v="10/02/2026"/>
    <n v="0.25459999999999999"/>
    <n v="4.3719999999999999"/>
    <n v="4.6584000000000003"/>
    <n v="7.5505000000000004"/>
    <n v="0.50009999999999999"/>
    <n v="8.0505999999999993"/>
    <n v="3"/>
    <n v="0"/>
    <n v="186.43690000000001"/>
    <s v="Optimal"/>
  </r>
  <r>
    <x v="4"/>
    <s v="11/02/2026"/>
    <n v="0.19400000000000001"/>
    <n v="1.9520999999999999"/>
    <n v="2.1913999999999998"/>
    <n v="7.6775000000000002"/>
    <n v="0.50009999999999999"/>
    <n v="8.1776"/>
    <n v="3"/>
    <n v="0"/>
    <n v="181.81190000000001"/>
    <s v="Optimal"/>
  </r>
  <r>
    <x v="4"/>
    <s v="12/02/2026"/>
    <n v="0.36570000000000003"/>
    <n v="1.2018"/>
    <n v="1.59"/>
    <n v="7.3437000000000001"/>
    <n v="0.83350000000000002"/>
    <n v="8.1771999999999991"/>
    <n v="5"/>
    <n v="0"/>
    <n v="174.37440000000001"/>
    <s v="Optimal"/>
  </r>
  <r>
    <x v="4"/>
    <s v="13/02/2026"/>
    <n v="0.34639999999999999"/>
    <n v="1.2076"/>
    <n v="1.6051"/>
    <n v="7.3064999999999998"/>
    <n v="0.83350000000000002"/>
    <n v="8.14"/>
    <n v="5"/>
    <n v="0"/>
    <n v="158.81190000000001"/>
    <s v="Optimal"/>
  </r>
  <r>
    <x v="4"/>
    <s v="18/02/2026"/>
    <n v="0.26319999999999999"/>
    <n v="161.84289999999999"/>
    <n v="162.27869999999999"/>
    <n v="7.4352999999999998"/>
    <n v="0.66679999999999995"/>
    <n v="8.1021000000000001"/>
    <n v="4"/>
    <n v="0"/>
    <n v="137.99940000000001"/>
    <s v="Optimal"/>
  </r>
  <r>
    <x v="4"/>
    <s v="19/02/2026"/>
    <n v="0.2712"/>
    <n v="3.9396"/>
    <n v="4.2484000000000002"/>
    <n v="7.5016999999999996"/>
    <n v="0.66679999999999995"/>
    <n v="8.1684999999999999"/>
    <n v="4"/>
    <n v="0"/>
    <n v="110.12439999999999"/>
    <s v="Optimal"/>
  </r>
  <r>
    <x v="4"/>
    <s v="20/02/2026"/>
    <n v="0.26479999999999998"/>
    <n v="368.32580000000002"/>
    <n v="368.64370000000002"/>
    <n v="7.3779000000000003"/>
    <n v="0.83350000000000002"/>
    <n v="8.2113999999999994"/>
    <n v="5"/>
    <n v="0"/>
    <n v="102.81189999999999"/>
    <s v="Optimal"/>
  </r>
  <r>
    <x v="4"/>
    <s v="23/02/2026"/>
    <n v="0.24729999999999999"/>
    <n v="140.70760000000001"/>
    <n v="140.9974"/>
    <n v="7.5505000000000004"/>
    <n v="0.66679999999999995"/>
    <n v="8.2172999999999998"/>
    <n v="4"/>
    <n v="0"/>
    <n v="94.936899999999994"/>
    <s v="Optimal"/>
  </r>
  <r>
    <x v="4"/>
    <s v="24/02/2026"/>
    <n v="0.13880000000000001"/>
    <n v="111.80070000000001"/>
    <n v="111.97539999999999"/>
    <n v="7.2502000000000004"/>
    <n v="0.83350000000000002"/>
    <n v="8.0837000000000003"/>
    <n v="5"/>
    <n v="0"/>
    <n v="109.06189999999999"/>
    <s v="Optimal"/>
  </r>
  <r>
    <x v="4"/>
    <s v="25/02/2026"/>
    <n v="0.18290000000000001"/>
    <n v="28.3386"/>
    <n v="28.561900000000001"/>
    <n v="7.3510999999999997"/>
    <n v="0.83350000000000002"/>
    <n v="8.1845999999999997"/>
    <n v="5"/>
    <n v="0"/>
    <n v="92.499399999999994"/>
    <s v="Optimal"/>
  </r>
  <r>
    <x v="4"/>
    <s v="26/02/2026"/>
    <n v="0.33479999999999999"/>
    <n v="28.891500000000001"/>
    <n v="29.249700000000001"/>
    <n v="7.3360000000000003"/>
    <n v="0.83350000000000002"/>
    <n v="8.1694999999999993"/>
    <n v="5"/>
    <n v="0"/>
    <n v="79.249399999999994"/>
    <s v="Optimal"/>
  </r>
  <r>
    <x v="4"/>
    <s v="27/02/2026"/>
    <n v="0.4209"/>
    <n v="0.49780000000000002"/>
    <n v="0.93540000000000001"/>
    <n v="7.3647999999999998"/>
    <n v="0.83350000000000002"/>
    <n v="8.1982999999999997"/>
    <n v="5"/>
    <n v="0"/>
    <n v="56.311900000000001"/>
    <s v="Optimal"/>
  </r>
  <r>
    <x v="5"/>
    <s v="02/02/2026"/>
    <n v="0.19"/>
    <n v="1.8637999999999999"/>
    <n v="2.0918999999999999"/>
    <n v="7.5335000000000001"/>
    <n v="0.66679999999999995"/>
    <n v="8.2003000000000004"/>
    <n v="4"/>
    <n v="0"/>
    <n v="198.31190000000001"/>
    <s v="Optimal"/>
  </r>
  <r>
    <x v="5"/>
    <s v="03/02/2026"/>
    <n v="0.1537"/>
    <n v="2.6705999999999999"/>
    <n v="2.8443999999999998"/>
    <n v="7.7016999999999998"/>
    <n v="0.50009999999999999"/>
    <n v="8.2018000000000004"/>
    <n v="3"/>
    <n v="0"/>
    <n v="196.31190000000001"/>
    <s v="Optimal"/>
  </r>
  <r>
    <x v="5"/>
    <s v="04/02/2026"/>
    <n v="0.26229999999999998"/>
    <n v="0.9113"/>
    <n v="1.1855"/>
    <n v="7.6060999999999996"/>
    <n v="0.50009999999999999"/>
    <n v="8.1061999999999994"/>
    <n v="3"/>
    <n v="0"/>
    <n v="180.18690000000001"/>
    <s v="Optimal"/>
  </r>
  <r>
    <x v="5"/>
    <s v="05/02/2026"/>
    <n v="0.91100000000000003"/>
    <n v="0.56669999999999998"/>
    <n v="1.4974000000000001"/>
    <n v="7.4843000000000002"/>
    <n v="0.66679999999999995"/>
    <n v="8.1510999999999996"/>
    <n v="4"/>
    <n v="0"/>
    <n v="171.74940000000001"/>
    <s v="Optimal"/>
  </r>
  <r>
    <x v="5"/>
    <s v="06/02/2026"/>
    <n v="0.14380000000000001"/>
    <n v="0.88360000000000005"/>
    <n v="1.0525"/>
    <n v="7.6287000000000003"/>
    <n v="0.50009999999999999"/>
    <n v="8.1288"/>
    <n v="3"/>
    <n v="0"/>
    <n v="169.87440000000001"/>
    <s v="Optimal"/>
  </r>
  <r>
    <x v="5"/>
    <s v="09/02/2026"/>
    <n v="0.1636"/>
    <n v="1.0709"/>
    <n v="1.2567999999999999"/>
    <n v="7.5505000000000004"/>
    <n v="0.66679999999999995"/>
    <n v="8.2172999999999998"/>
    <n v="4"/>
    <n v="0"/>
    <n v="178.93690000000001"/>
    <s v="Optimal"/>
  </r>
  <r>
    <x v="5"/>
    <s v="10/02/2026"/>
    <n v="0.23719999999999999"/>
    <n v="3.7179000000000002"/>
    <n v="3.9664999999999999"/>
    <n v="7.5505000000000004"/>
    <n v="0.50009999999999999"/>
    <n v="8.0505999999999993"/>
    <n v="3"/>
    <n v="0"/>
    <n v="186.43690000000001"/>
    <s v="Optimal"/>
  </r>
  <r>
    <x v="5"/>
    <s v="11/02/2026"/>
    <n v="0.151"/>
    <n v="1.9265000000000001"/>
    <n v="2.0962000000000001"/>
    <n v="7.6775000000000002"/>
    <n v="0.50009999999999999"/>
    <n v="8.1776"/>
    <n v="3"/>
    <n v="0"/>
    <n v="181.81190000000001"/>
    <s v="Optimal"/>
  </r>
  <r>
    <x v="5"/>
    <s v="12/02/2026"/>
    <n v="0.35859999999999997"/>
    <n v="1.1580999999999999"/>
    <n v="1.5457000000000001"/>
    <n v="7.3437000000000001"/>
    <n v="0.83350000000000002"/>
    <n v="8.1771999999999991"/>
    <n v="5"/>
    <n v="0"/>
    <n v="174.37440000000001"/>
    <s v="Optimal"/>
  </r>
  <r>
    <x v="5"/>
    <s v="13/02/2026"/>
    <n v="0.32569999999999999"/>
    <n v="1.2229000000000001"/>
    <n v="1.5785"/>
    <n v="7.3064999999999998"/>
    <n v="0.83350000000000002"/>
    <n v="8.14"/>
    <n v="5"/>
    <n v="0"/>
    <n v="158.81190000000001"/>
    <s v="Optimal"/>
  </r>
  <r>
    <x v="5"/>
    <s v="18/02/2026"/>
    <n v="0.25319999999999998"/>
    <n v="55.766199999999998"/>
    <n v="56.040199999999999"/>
    <n v="7.4352999999999998"/>
    <n v="0.66679999999999995"/>
    <n v="8.1021000000000001"/>
    <n v="4"/>
    <n v="0"/>
    <n v="141.37440000000001"/>
    <s v="Optimal"/>
  </r>
  <r>
    <x v="5"/>
    <s v="19/02/2026"/>
    <n v="0.2031"/>
    <n v="37.229799999999997"/>
    <n v="37.480600000000003"/>
    <n v="7.3825000000000003"/>
    <n v="0.83350000000000002"/>
    <n v="8.2159999999999993"/>
    <n v="5"/>
    <n v="0"/>
    <n v="115.24939999999999"/>
    <s v="Optimal"/>
  </r>
  <r>
    <x v="5"/>
    <s v="20/02/2026"/>
    <n v="0.30609999999999998"/>
    <n v="225.7466"/>
    <n v="226.0941"/>
    <n v="7.3387000000000002"/>
    <n v="0.83350000000000002"/>
    <n v="8.1722000000000001"/>
    <n v="5"/>
    <n v="0"/>
    <n v="102.62439999999999"/>
    <s v="Optimal"/>
  </r>
  <r>
    <x v="5"/>
    <s v="23/02/2026"/>
    <n v="0.14849999999999999"/>
    <n v="1.9176"/>
    <n v="2.2351999999999999"/>
    <n v="7.5382999999999996"/>
    <n v="0.66679999999999995"/>
    <n v="8.2050999999999998"/>
    <n v="4"/>
    <n v="0"/>
    <n v="95.186899999999994"/>
    <s v="Optimal"/>
  </r>
  <r>
    <x v="5"/>
    <s v="24/02/2026"/>
    <n v="0.14069999999999999"/>
    <n v="2.6577999999999999"/>
    <n v="2.8104"/>
    <n v="7.5303000000000004"/>
    <n v="0.66679999999999995"/>
    <n v="8.1971000000000007"/>
    <n v="4"/>
    <n v="0"/>
    <n v="108.18689999999999"/>
    <s v="Optimal"/>
  </r>
  <r>
    <x v="5"/>
    <s v="25/02/2026"/>
    <n v="0.25109999999999999"/>
    <n v="71.390299999999996"/>
    <n v="71.697299999999998"/>
    <n v="7.3414999999999999"/>
    <n v="0.83350000000000002"/>
    <n v="8.1750000000000007"/>
    <n v="5"/>
    <n v="0"/>
    <n v="89.874399999999994"/>
    <s v="Optimal"/>
  </r>
  <r>
    <x v="5"/>
    <s v="26/02/2026"/>
    <n v="0.26590000000000003"/>
    <n v="0.94989999999999997"/>
    <n v="1.2359"/>
    <n v="7.2359999999999998"/>
    <n v="0.83350000000000002"/>
    <n v="8.0694999999999997"/>
    <n v="5"/>
    <n v="0"/>
    <n v="77.749399999999994"/>
    <s v="Optimal"/>
  </r>
  <r>
    <x v="5"/>
    <s v="27/02/2026"/>
    <n v="0.31040000000000001"/>
    <n v="0.34789999999999999"/>
    <n v="0.6976"/>
    <n v="7.3647999999999998"/>
    <n v="0.83350000000000002"/>
    <n v="8.1982999999999997"/>
    <n v="5"/>
    <n v="0"/>
    <n v="57.374400000000001"/>
    <s v="Opti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F88F5-3DCD-4788-95B1-38EE04824E3D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0" firstHeaderRow="0" firstDataRow="1" firstDataCol="1"/>
  <pivotFields count="1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Z1: Atraso no horizonte (lotes)" fld="9" baseField="0" baseItem="0"/>
    <dataField name="Soma de Z2: Desvio do estoque alvo (lotes)" fld="10" baseField="0" baseItem="0"/>
    <dataField name="Soma de Tempo total processamento (s)" fld="4" baseField="0" baseItem="0"/>
  </dataFields>
  <formats count="2">
    <format dxfId="1">
      <pivotArea field="0" type="button" dataOnly="0" labelOnly="1" outline="0" axis="axisRow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workbookViewId="0">
      <selection sqref="A1:A1048576"/>
    </sheetView>
  </sheetViews>
  <sheetFormatPr defaultRowHeight="14.5" x14ac:dyDescent="0.35"/>
  <cols>
    <col min="1" max="1" width="12" bestFit="1" customWidth="1"/>
    <col min="2" max="2" width="19.81640625" bestFit="1" customWidth="1"/>
    <col min="3" max="4" width="14.6328125" bestFit="1" customWidth="1"/>
    <col min="5" max="5" width="27.36328125" bestFit="1" customWidth="1"/>
    <col min="6" max="6" width="20.6328125" bestFit="1" customWidth="1"/>
    <col min="7" max="7" width="17.36328125" bestFit="1" customWidth="1"/>
    <col min="8" max="8" width="21.81640625" bestFit="1" customWidth="1"/>
    <col min="9" max="9" width="19.453125" bestFit="1" customWidth="1"/>
    <col min="10" max="10" width="26.7265625" bestFit="1" customWidth="1"/>
    <col min="11" max="11" width="29.453125" bestFit="1" customWidth="1"/>
    <col min="12" max="12" width="2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0.1</v>
      </c>
      <c r="B2" t="s">
        <v>12</v>
      </c>
      <c r="C2">
        <v>0.2344</v>
      </c>
      <c r="D2">
        <v>65.374099999999999</v>
      </c>
      <c r="E2">
        <v>65.643199999999993</v>
      </c>
      <c r="F2">
        <v>7.4335000000000004</v>
      </c>
      <c r="G2">
        <v>0.66679999999999995</v>
      </c>
      <c r="H2">
        <v>8.1003000000000007</v>
      </c>
      <c r="I2">
        <v>4</v>
      </c>
      <c r="J2">
        <v>0</v>
      </c>
      <c r="K2">
        <v>195.37440000000001</v>
      </c>
      <c r="L2" t="s">
        <v>13</v>
      </c>
    </row>
    <row r="3" spans="1:12" x14ac:dyDescent="0.35">
      <c r="A3">
        <v>0.1</v>
      </c>
      <c r="B3" t="s">
        <v>14</v>
      </c>
      <c r="C3">
        <v>0.20810000000000001</v>
      </c>
      <c r="D3">
        <v>14.0953</v>
      </c>
      <c r="E3">
        <v>14.3581</v>
      </c>
      <c r="F3">
        <v>7.5137999999999998</v>
      </c>
      <c r="G3">
        <v>0.66679999999999995</v>
      </c>
      <c r="H3">
        <v>8.1806000000000001</v>
      </c>
      <c r="I3">
        <v>4</v>
      </c>
      <c r="J3">
        <v>0</v>
      </c>
      <c r="K3">
        <v>186.99940000000001</v>
      </c>
      <c r="L3" t="s">
        <v>13</v>
      </c>
    </row>
    <row r="4" spans="1:12" x14ac:dyDescent="0.35">
      <c r="A4">
        <v>0.1</v>
      </c>
      <c r="B4" t="s">
        <v>15</v>
      </c>
      <c r="C4">
        <v>0.29649999999999999</v>
      </c>
      <c r="D4">
        <v>1.3280000000000001</v>
      </c>
      <c r="E4">
        <v>1.6845000000000001</v>
      </c>
      <c r="F4">
        <v>7.5355999999999996</v>
      </c>
      <c r="G4">
        <v>0.66679999999999995</v>
      </c>
      <c r="H4">
        <v>8.2024000000000008</v>
      </c>
      <c r="I4">
        <v>4</v>
      </c>
      <c r="J4">
        <v>0</v>
      </c>
      <c r="K4">
        <v>174.24940000000001</v>
      </c>
      <c r="L4" t="s">
        <v>13</v>
      </c>
    </row>
    <row r="5" spans="1:12" x14ac:dyDescent="0.35">
      <c r="A5">
        <v>0.1</v>
      </c>
      <c r="B5" t="s">
        <v>16</v>
      </c>
      <c r="C5">
        <v>0.22839999999999999</v>
      </c>
      <c r="D5">
        <v>4.0487000000000002</v>
      </c>
      <c r="E5">
        <v>4.3243999999999998</v>
      </c>
      <c r="F5">
        <v>7.7061000000000002</v>
      </c>
      <c r="G5">
        <v>0.50009999999999999</v>
      </c>
      <c r="H5">
        <v>8.2062000000000008</v>
      </c>
      <c r="I5">
        <v>3</v>
      </c>
      <c r="J5">
        <v>0</v>
      </c>
      <c r="K5">
        <v>166.49940000000001</v>
      </c>
      <c r="L5" t="s">
        <v>13</v>
      </c>
    </row>
    <row r="6" spans="1:12" x14ac:dyDescent="0.35">
      <c r="A6">
        <v>0.1</v>
      </c>
      <c r="B6" t="s">
        <v>17</v>
      </c>
      <c r="C6">
        <v>0.18190000000000001</v>
      </c>
      <c r="D6">
        <v>20.0884</v>
      </c>
      <c r="E6">
        <v>20.316099999999999</v>
      </c>
      <c r="F6">
        <v>7.7069999999999999</v>
      </c>
      <c r="G6">
        <v>0.50009999999999999</v>
      </c>
      <c r="H6">
        <v>8.2071000000000005</v>
      </c>
      <c r="I6">
        <v>3</v>
      </c>
      <c r="J6">
        <v>0</v>
      </c>
      <c r="K6">
        <v>165.24940000000001</v>
      </c>
      <c r="L6" t="s">
        <v>13</v>
      </c>
    </row>
    <row r="7" spans="1:12" x14ac:dyDescent="0.35">
      <c r="A7">
        <v>0.1</v>
      </c>
      <c r="B7" t="s">
        <v>18</v>
      </c>
      <c r="C7">
        <v>0.19359999999999999</v>
      </c>
      <c r="D7">
        <v>25.817499999999999</v>
      </c>
      <c r="E7">
        <v>26.0517</v>
      </c>
      <c r="F7">
        <v>7.8575999999999997</v>
      </c>
      <c r="G7">
        <v>0.33339999999999997</v>
      </c>
      <c r="H7">
        <v>8.1910000000000007</v>
      </c>
      <c r="I7">
        <v>2</v>
      </c>
      <c r="J7">
        <v>0</v>
      </c>
      <c r="K7">
        <v>174.43690000000001</v>
      </c>
      <c r="L7" t="s">
        <v>13</v>
      </c>
    </row>
    <row r="8" spans="1:12" x14ac:dyDescent="0.35">
      <c r="A8">
        <v>0.1</v>
      </c>
      <c r="B8" t="s">
        <v>19</v>
      </c>
      <c r="C8">
        <v>0.27679999999999999</v>
      </c>
      <c r="D8">
        <v>32.254899999999999</v>
      </c>
      <c r="E8">
        <v>32.571100000000001</v>
      </c>
      <c r="F8">
        <v>7.5137999999999998</v>
      </c>
      <c r="G8">
        <v>0.66679999999999995</v>
      </c>
      <c r="H8">
        <v>8.1806000000000001</v>
      </c>
      <c r="I8">
        <v>4</v>
      </c>
      <c r="J8">
        <v>0</v>
      </c>
      <c r="K8">
        <v>175.93690000000001</v>
      </c>
      <c r="L8" t="s">
        <v>13</v>
      </c>
    </row>
    <row r="9" spans="1:12" x14ac:dyDescent="0.35">
      <c r="A9">
        <v>0.1</v>
      </c>
      <c r="B9" t="s">
        <v>20</v>
      </c>
      <c r="C9">
        <v>0.20780000000000001</v>
      </c>
      <c r="D9">
        <v>17.976900000000001</v>
      </c>
      <c r="E9">
        <v>18.2193</v>
      </c>
      <c r="F9">
        <v>7.7069999999999999</v>
      </c>
      <c r="G9">
        <v>0.50009999999999999</v>
      </c>
      <c r="H9">
        <v>8.2071000000000005</v>
      </c>
      <c r="I9">
        <v>3</v>
      </c>
      <c r="J9">
        <v>0</v>
      </c>
      <c r="K9">
        <v>170.06190000000001</v>
      </c>
      <c r="L9" t="s">
        <v>13</v>
      </c>
    </row>
    <row r="10" spans="1:12" x14ac:dyDescent="0.35">
      <c r="A10">
        <v>0.1</v>
      </c>
      <c r="B10" t="s">
        <v>21</v>
      </c>
      <c r="C10">
        <v>0.32540000000000002</v>
      </c>
      <c r="D10">
        <v>25.083300000000001</v>
      </c>
      <c r="E10">
        <v>25.450700000000001</v>
      </c>
      <c r="F10">
        <v>7.3509000000000002</v>
      </c>
      <c r="G10">
        <v>0.83350000000000002</v>
      </c>
      <c r="H10">
        <v>8.1844000000000001</v>
      </c>
      <c r="I10">
        <v>5</v>
      </c>
      <c r="J10">
        <v>0</v>
      </c>
      <c r="K10">
        <v>172.43690000000001</v>
      </c>
      <c r="L10" t="s">
        <v>13</v>
      </c>
    </row>
    <row r="11" spans="1:12" x14ac:dyDescent="0.35">
      <c r="A11">
        <v>0.1</v>
      </c>
      <c r="B11" t="s">
        <v>22</v>
      </c>
      <c r="C11">
        <v>0.21629999999999999</v>
      </c>
      <c r="D11">
        <v>43.186599999999999</v>
      </c>
      <c r="E11">
        <v>43.429499999999997</v>
      </c>
      <c r="F11">
        <v>7.3064999999999998</v>
      </c>
      <c r="G11">
        <v>0.83350000000000002</v>
      </c>
      <c r="H11">
        <v>8.14</v>
      </c>
      <c r="I11">
        <v>5</v>
      </c>
      <c r="J11">
        <v>0</v>
      </c>
      <c r="K11">
        <v>152.49940000000001</v>
      </c>
      <c r="L11" t="s">
        <v>13</v>
      </c>
    </row>
    <row r="12" spans="1:12" x14ac:dyDescent="0.35">
      <c r="A12">
        <v>0.1</v>
      </c>
      <c r="B12" t="s">
        <v>23</v>
      </c>
      <c r="C12">
        <v>0.42249999999999999</v>
      </c>
      <c r="D12">
        <v>47.11</v>
      </c>
      <c r="E12">
        <v>47.5871</v>
      </c>
      <c r="F12">
        <v>7.3257000000000003</v>
      </c>
      <c r="G12">
        <v>0.83350000000000002</v>
      </c>
      <c r="H12">
        <v>8.1592000000000002</v>
      </c>
      <c r="I12">
        <v>5</v>
      </c>
      <c r="J12">
        <v>0</v>
      </c>
      <c r="K12">
        <v>130.12440000000001</v>
      </c>
      <c r="L12" t="s">
        <v>13</v>
      </c>
    </row>
    <row r="13" spans="1:12" x14ac:dyDescent="0.35">
      <c r="A13">
        <v>0.1</v>
      </c>
      <c r="B13" t="s">
        <v>24</v>
      </c>
      <c r="C13">
        <v>0.26800000000000002</v>
      </c>
      <c r="D13">
        <v>46.903300000000002</v>
      </c>
      <c r="E13">
        <v>47.203400000000002</v>
      </c>
      <c r="F13">
        <v>7.3137999999999996</v>
      </c>
      <c r="G13">
        <v>0.83350000000000002</v>
      </c>
      <c r="H13">
        <v>8.1472999999999995</v>
      </c>
      <c r="I13">
        <v>5</v>
      </c>
      <c r="J13">
        <v>0</v>
      </c>
      <c r="K13">
        <v>109.31189999999999</v>
      </c>
      <c r="L13" t="s">
        <v>13</v>
      </c>
    </row>
    <row r="14" spans="1:12" x14ac:dyDescent="0.35">
      <c r="A14">
        <v>0.1</v>
      </c>
      <c r="B14" t="s">
        <v>25</v>
      </c>
      <c r="C14">
        <v>0.46879999999999999</v>
      </c>
      <c r="D14">
        <v>315.6465</v>
      </c>
      <c r="E14">
        <v>316.16079999999999</v>
      </c>
      <c r="F14">
        <v>7.3681999999999999</v>
      </c>
      <c r="G14">
        <v>0.83350000000000002</v>
      </c>
      <c r="H14">
        <v>8.2017000000000007</v>
      </c>
      <c r="I14">
        <v>5</v>
      </c>
      <c r="J14">
        <v>0</v>
      </c>
      <c r="K14">
        <v>96.811899999999994</v>
      </c>
      <c r="L14" t="s">
        <v>13</v>
      </c>
    </row>
    <row r="15" spans="1:12" x14ac:dyDescent="0.35">
      <c r="A15">
        <v>0.1</v>
      </c>
      <c r="B15" t="s">
        <v>26</v>
      </c>
      <c r="C15">
        <v>0.28489999999999999</v>
      </c>
      <c r="D15">
        <v>27.8249</v>
      </c>
      <c r="E15">
        <v>28.141999999999999</v>
      </c>
      <c r="F15">
        <v>7.6775000000000002</v>
      </c>
      <c r="G15">
        <v>0.50009999999999999</v>
      </c>
      <c r="H15">
        <v>8.1776</v>
      </c>
      <c r="I15">
        <v>3</v>
      </c>
      <c r="J15">
        <v>0</v>
      </c>
      <c r="K15">
        <v>87.436899999999994</v>
      </c>
      <c r="L15" t="s">
        <v>13</v>
      </c>
    </row>
    <row r="16" spans="1:12" x14ac:dyDescent="0.35">
      <c r="A16">
        <v>0.1</v>
      </c>
      <c r="B16" t="s">
        <v>27</v>
      </c>
      <c r="C16">
        <v>0.19</v>
      </c>
      <c r="D16">
        <v>364.99270000000001</v>
      </c>
      <c r="E16">
        <v>365.21390000000002</v>
      </c>
      <c r="F16">
        <v>7.3207000000000004</v>
      </c>
      <c r="G16">
        <v>0.83350000000000002</v>
      </c>
      <c r="H16">
        <v>8.1541999999999994</v>
      </c>
      <c r="I16">
        <v>5</v>
      </c>
      <c r="J16">
        <v>0</v>
      </c>
      <c r="K16">
        <v>101.43689999999999</v>
      </c>
      <c r="L16" t="s">
        <v>13</v>
      </c>
    </row>
    <row r="17" spans="1:12" x14ac:dyDescent="0.35">
      <c r="A17">
        <v>0.1</v>
      </c>
      <c r="B17" t="s">
        <v>28</v>
      </c>
      <c r="C17">
        <v>0.1457</v>
      </c>
      <c r="D17">
        <v>25.203900000000001</v>
      </c>
      <c r="E17">
        <v>25.372599999999998</v>
      </c>
      <c r="F17">
        <v>7.3651</v>
      </c>
      <c r="G17">
        <v>0.83350000000000002</v>
      </c>
      <c r="H17">
        <v>8.1986000000000008</v>
      </c>
      <c r="I17">
        <v>5</v>
      </c>
      <c r="J17">
        <v>0</v>
      </c>
      <c r="K17">
        <v>84.124399999999994</v>
      </c>
      <c r="L17" t="s">
        <v>13</v>
      </c>
    </row>
    <row r="18" spans="1:12" x14ac:dyDescent="0.35">
      <c r="A18">
        <v>0.1</v>
      </c>
      <c r="B18" t="s">
        <v>29</v>
      </c>
      <c r="C18">
        <v>0.35249999999999998</v>
      </c>
      <c r="D18">
        <v>0.97240000000000004</v>
      </c>
      <c r="E18">
        <v>1.347</v>
      </c>
      <c r="F18">
        <v>7.3708</v>
      </c>
      <c r="G18">
        <v>0.83350000000000002</v>
      </c>
      <c r="H18">
        <v>8.2042999999999999</v>
      </c>
      <c r="I18">
        <v>5</v>
      </c>
      <c r="J18">
        <v>0</v>
      </c>
      <c r="K18">
        <v>73.061899999999994</v>
      </c>
      <c r="L18" t="s">
        <v>13</v>
      </c>
    </row>
    <row r="19" spans="1:12" x14ac:dyDescent="0.35">
      <c r="A19">
        <v>0.1</v>
      </c>
      <c r="B19" t="s">
        <v>30</v>
      </c>
      <c r="C19">
        <v>0.13400000000000001</v>
      </c>
      <c r="D19">
        <v>0.4995</v>
      </c>
      <c r="E19">
        <v>0.72199999999999998</v>
      </c>
      <c r="F19">
        <v>7.3160999999999996</v>
      </c>
      <c r="G19">
        <v>0.83350000000000002</v>
      </c>
      <c r="H19">
        <v>8.1495999999999995</v>
      </c>
      <c r="I19">
        <v>5</v>
      </c>
      <c r="J19">
        <v>0</v>
      </c>
      <c r="K19">
        <v>53.25</v>
      </c>
      <c r="L19" t="s">
        <v>13</v>
      </c>
    </row>
    <row r="20" spans="1:12" x14ac:dyDescent="0.35">
      <c r="A20">
        <v>0.11</v>
      </c>
      <c r="B20" t="s">
        <v>12</v>
      </c>
      <c r="C20">
        <v>0.23680000000000001</v>
      </c>
      <c r="D20">
        <v>29.671399999999998</v>
      </c>
      <c r="E20">
        <v>29.941800000000001</v>
      </c>
      <c r="F20">
        <v>7.3822000000000001</v>
      </c>
      <c r="G20">
        <v>0.83350000000000002</v>
      </c>
      <c r="H20">
        <v>8.2157</v>
      </c>
      <c r="I20">
        <v>5</v>
      </c>
      <c r="J20">
        <v>0</v>
      </c>
      <c r="K20">
        <v>198.06190000000001</v>
      </c>
      <c r="L20" t="s">
        <v>13</v>
      </c>
    </row>
    <row r="21" spans="1:12" x14ac:dyDescent="0.35">
      <c r="A21">
        <v>0.11</v>
      </c>
      <c r="B21" t="s">
        <v>14</v>
      </c>
      <c r="C21">
        <v>0.24779999999999999</v>
      </c>
      <c r="D21">
        <v>0.82869999999999999</v>
      </c>
      <c r="E21">
        <v>1.1277999999999999</v>
      </c>
      <c r="F21">
        <v>7.3772000000000002</v>
      </c>
      <c r="G21">
        <v>0.66679999999999995</v>
      </c>
      <c r="H21">
        <v>8.0440000000000005</v>
      </c>
      <c r="I21">
        <v>4</v>
      </c>
      <c r="J21">
        <v>0</v>
      </c>
      <c r="K21">
        <v>188.18690000000001</v>
      </c>
      <c r="L21" t="s">
        <v>13</v>
      </c>
    </row>
    <row r="22" spans="1:12" x14ac:dyDescent="0.35">
      <c r="A22">
        <v>0.11</v>
      </c>
      <c r="B22" t="s">
        <v>15</v>
      </c>
      <c r="C22">
        <v>0.23</v>
      </c>
      <c r="D22">
        <v>0.4279</v>
      </c>
      <c r="E22">
        <v>0.69579999999999997</v>
      </c>
      <c r="F22">
        <v>7.5235000000000003</v>
      </c>
      <c r="G22">
        <v>0.66679999999999995</v>
      </c>
      <c r="H22">
        <v>8.1903000000000006</v>
      </c>
      <c r="I22">
        <v>4</v>
      </c>
      <c r="J22">
        <v>0</v>
      </c>
      <c r="K22">
        <v>180.43690000000001</v>
      </c>
      <c r="L22" t="s">
        <v>13</v>
      </c>
    </row>
    <row r="23" spans="1:12" x14ac:dyDescent="0.35">
      <c r="A23">
        <v>0.11</v>
      </c>
      <c r="B23" t="s">
        <v>16</v>
      </c>
      <c r="C23">
        <v>0.21110000000000001</v>
      </c>
      <c r="D23">
        <v>1.3761000000000001</v>
      </c>
      <c r="E23">
        <v>1.6074999999999999</v>
      </c>
      <c r="F23">
        <v>7.7061000000000002</v>
      </c>
      <c r="G23">
        <v>0.50009999999999999</v>
      </c>
      <c r="H23">
        <v>8.2062000000000008</v>
      </c>
      <c r="I23">
        <v>3</v>
      </c>
      <c r="J23">
        <v>0</v>
      </c>
      <c r="K23">
        <v>172.56190000000001</v>
      </c>
      <c r="L23" t="s">
        <v>13</v>
      </c>
    </row>
    <row r="24" spans="1:12" x14ac:dyDescent="0.35">
      <c r="A24">
        <v>0.11</v>
      </c>
      <c r="B24" t="s">
        <v>17</v>
      </c>
      <c r="C24">
        <v>0.2296</v>
      </c>
      <c r="D24">
        <v>1.1392</v>
      </c>
      <c r="E24">
        <v>1.4098999999999999</v>
      </c>
      <c r="F24">
        <v>7.8166000000000002</v>
      </c>
      <c r="G24">
        <v>0.33339999999999997</v>
      </c>
      <c r="H24">
        <v>8.15</v>
      </c>
      <c r="I24">
        <v>2</v>
      </c>
      <c r="J24">
        <v>0</v>
      </c>
      <c r="K24">
        <v>173.74940000000001</v>
      </c>
      <c r="L24" t="s">
        <v>13</v>
      </c>
    </row>
    <row r="25" spans="1:12" x14ac:dyDescent="0.35">
      <c r="A25">
        <v>0.11</v>
      </c>
      <c r="B25" t="s">
        <v>18</v>
      </c>
      <c r="C25">
        <v>0.68530000000000002</v>
      </c>
      <c r="D25">
        <v>8.74</v>
      </c>
      <c r="E25">
        <v>9.4513999999999996</v>
      </c>
      <c r="F25">
        <v>7.5113000000000003</v>
      </c>
      <c r="G25">
        <v>0.66679999999999995</v>
      </c>
      <c r="H25">
        <v>8.1781000000000006</v>
      </c>
      <c r="I25">
        <v>4</v>
      </c>
      <c r="J25">
        <v>0</v>
      </c>
      <c r="K25">
        <v>176.18690000000001</v>
      </c>
      <c r="L25" t="s">
        <v>13</v>
      </c>
    </row>
    <row r="26" spans="1:12" x14ac:dyDescent="0.35">
      <c r="A26">
        <v>0.11</v>
      </c>
      <c r="B26" t="s">
        <v>19</v>
      </c>
      <c r="C26">
        <v>0.1724</v>
      </c>
      <c r="D26">
        <v>3.0706000000000002</v>
      </c>
      <c r="E26">
        <v>3.2612000000000001</v>
      </c>
      <c r="F26">
        <v>7.6896000000000004</v>
      </c>
      <c r="G26">
        <v>0.50009999999999999</v>
      </c>
      <c r="H26">
        <v>8.1897000000000002</v>
      </c>
      <c r="I26">
        <v>3</v>
      </c>
      <c r="J26">
        <v>0</v>
      </c>
      <c r="K26">
        <v>184.56190000000001</v>
      </c>
      <c r="L26" t="s">
        <v>13</v>
      </c>
    </row>
    <row r="27" spans="1:12" x14ac:dyDescent="0.35">
      <c r="A27">
        <v>0.11</v>
      </c>
      <c r="B27" t="s">
        <v>20</v>
      </c>
      <c r="C27">
        <v>0.16669999999999999</v>
      </c>
      <c r="D27">
        <v>41.921300000000002</v>
      </c>
      <c r="E27">
        <v>42.116199999999999</v>
      </c>
      <c r="F27">
        <v>7.6775000000000002</v>
      </c>
      <c r="G27">
        <v>0.50009999999999999</v>
      </c>
      <c r="H27">
        <v>8.1776</v>
      </c>
      <c r="I27">
        <v>3</v>
      </c>
      <c r="J27">
        <v>0</v>
      </c>
      <c r="K27">
        <v>178.06190000000001</v>
      </c>
      <c r="L27" t="s">
        <v>13</v>
      </c>
    </row>
    <row r="28" spans="1:12" x14ac:dyDescent="0.35">
      <c r="A28">
        <v>0.11</v>
      </c>
      <c r="B28" t="s">
        <v>21</v>
      </c>
      <c r="C28">
        <v>0.37890000000000001</v>
      </c>
      <c r="D28">
        <v>6.9771000000000001</v>
      </c>
      <c r="E28">
        <v>7.3994</v>
      </c>
      <c r="F28">
        <v>7.3630000000000004</v>
      </c>
      <c r="G28">
        <v>0.83350000000000002</v>
      </c>
      <c r="H28">
        <v>8.1965000000000003</v>
      </c>
      <c r="I28">
        <v>5</v>
      </c>
      <c r="J28">
        <v>0</v>
      </c>
      <c r="K28">
        <v>174.87440000000001</v>
      </c>
      <c r="L28" t="s">
        <v>13</v>
      </c>
    </row>
    <row r="29" spans="1:12" x14ac:dyDescent="0.35">
      <c r="A29">
        <v>0.11</v>
      </c>
      <c r="B29" t="s">
        <v>22</v>
      </c>
      <c r="C29">
        <v>0.2722</v>
      </c>
      <c r="D29">
        <v>19.773599999999998</v>
      </c>
      <c r="E29">
        <v>20.0776</v>
      </c>
      <c r="F29">
        <v>7.3750999999999998</v>
      </c>
      <c r="G29">
        <v>0.83350000000000002</v>
      </c>
      <c r="H29">
        <v>8.2086000000000006</v>
      </c>
      <c r="I29">
        <v>5</v>
      </c>
      <c r="J29">
        <v>0</v>
      </c>
      <c r="K29">
        <v>154.74940000000001</v>
      </c>
      <c r="L29" t="s">
        <v>13</v>
      </c>
    </row>
    <row r="30" spans="1:12" x14ac:dyDescent="0.35">
      <c r="A30">
        <v>0.11</v>
      </c>
      <c r="B30" t="s">
        <v>23</v>
      </c>
      <c r="C30">
        <v>0.34570000000000001</v>
      </c>
      <c r="D30">
        <v>13.206</v>
      </c>
      <c r="E30">
        <v>13.5969</v>
      </c>
      <c r="F30">
        <v>7.5353000000000003</v>
      </c>
      <c r="G30">
        <v>0.66679999999999995</v>
      </c>
      <c r="H30">
        <v>8.2020999999999997</v>
      </c>
      <c r="I30">
        <v>4</v>
      </c>
      <c r="J30">
        <v>0</v>
      </c>
      <c r="K30">
        <v>132.62440000000001</v>
      </c>
      <c r="L30" t="s">
        <v>13</v>
      </c>
    </row>
    <row r="31" spans="1:12" x14ac:dyDescent="0.35">
      <c r="A31">
        <v>0.11</v>
      </c>
      <c r="B31" t="s">
        <v>24</v>
      </c>
      <c r="C31">
        <v>0.34670000000000001</v>
      </c>
      <c r="D31">
        <v>50.490900000000003</v>
      </c>
      <c r="E31">
        <v>50.879399999999997</v>
      </c>
      <c r="F31">
        <v>7.5407999999999999</v>
      </c>
      <c r="G31">
        <v>0.66679999999999995</v>
      </c>
      <c r="H31">
        <v>8.2075999999999993</v>
      </c>
      <c r="I31">
        <v>4</v>
      </c>
      <c r="J31">
        <v>0</v>
      </c>
      <c r="K31">
        <v>107.68689999999999</v>
      </c>
      <c r="L31" t="s">
        <v>13</v>
      </c>
    </row>
    <row r="32" spans="1:12" x14ac:dyDescent="0.35">
      <c r="A32">
        <v>0.11</v>
      </c>
      <c r="B32" t="s">
        <v>25</v>
      </c>
      <c r="C32">
        <v>0.31280000000000002</v>
      </c>
      <c r="D32">
        <v>23.247399999999999</v>
      </c>
      <c r="E32">
        <v>23.610099999999999</v>
      </c>
      <c r="F32">
        <v>7.3779000000000003</v>
      </c>
      <c r="G32">
        <v>0.83350000000000002</v>
      </c>
      <c r="H32">
        <v>8.2113999999999994</v>
      </c>
      <c r="I32">
        <v>5</v>
      </c>
      <c r="J32">
        <v>0</v>
      </c>
      <c r="K32">
        <v>92.561899999999994</v>
      </c>
      <c r="L32" t="s">
        <v>13</v>
      </c>
    </row>
    <row r="33" spans="1:12" x14ac:dyDescent="0.35">
      <c r="A33">
        <v>0.11</v>
      </c>
      <c r="B33" t="s">
        <v>26</v>
      </c>
      <c r="C33">
        <v>0.1656</v>
      </c>
      <c r="D33">
        <v>746.48829999999998</v>
      </c>
      <c r="E33">
        <v>746.7038</v>
      </c>
      <c r="F33">
        <v>7.7112999999999996</v>
      </c>
      <c r="G33">
        <v>0.50009999999999999</v>
      </c>
      <c r="H33">
        <v>8.2113999999999994</v>
      </c>
      <c r="I33">
        <v>3</v>
      </c>
      <c r="J33">
        <v>0</v>
      </c>
      <c r="K33">
        <v>89.749399999999994</v>
      </c>
      <c r="L33" t="s">
        <v>13</v>
      </c>
    </row>
    <row r="34" spans="1:12" x14ac:dyDescent="0.35">
      <c r="A34">
        <v>0.11</v>
      </c>
      <c r="B34" t="s">
        <v>27</v>
      </c>
      <c r="C34">
        <v>0.15770000000000001</v>
      </c>
      <c r="D34">
        <v>1017.5421</v>
      </c>
      <c r="E34">
        <v>1017.7474</v>
      </c>
      <c r="F34">
        <v>7.3597999999999999</v>
      </c>
      <c r="G34">
        <v>0.83350000000000002</v>
      </c>
      <c r="H34">
        <v>8.1933000000000007</v>
      </c>
      <c r="I34">
        <v>5</v>
      </c>
      <c r="J34">
        <v>0</v>
      </c>
      <c r="K34">
        <v>99.374399999999994</v>
      </c>
      <c r="L34" t="s">
        <v>13</v>
      </c>
    </row>
    <row r="35" spans="1:12" x14ac:dyDescent="0.35">
      <c r="A35">
        <v>0.11</v>
      </c>
      <c r="B35" t="s">
        <v>28</v>
      </c>
      <c r="C35">
        <v>0.22220000000000001</v>
      </c>
      <c r="D35">
        <v>20.204999999999998</v>
      </c>
      <c r="E35">
        <v>20.449400000000001</v>
      </c>
      <c r="F35">
        <v>7.3510999999999997</v>
      </c>
      <c r="G35">
        <v>0.83350000000000002</v>
      </c>
      <c r="H35">
        <v>8.1845999999999997</v>
      </c>
      <c r="I35">
        <v>5</v>
      </c>
      <c r="J35">
        <v>0</v>
      </c>
      <c r="K35">
        <v>82.499399999999994</v>
      </c>
      <c r="L35" t="s">
        <v>13</v>
      </c>
    </row>
    <row r="36" spans="1:12" x14ac:dyDescent="0.35">
      <c r="A36">
        <v>0.11</v>
      </c>
      <c r="B36" t="s">
        <v>29</v>
      </c>
      <c r="C36">
        <v>0.2054</v>
      </c>
      <c r="D36">
        <v>1.5804</v>
      </c>
      <c r="E36">
        <v>1.8099000000000001</v>
      </c>
      <c r="F36">
        <v>7.2751000000000001</v>
      </c>
      <c r="G36">
        <v>0.83350000000000002</v>
      </c>
      <c r="H36">
        <v>8.1085999999999991</v>
      </c>
      <c r="I36">
        <v>5</v>
      </c>
      <c r="J36">
        <v>0</v>
      </c>
      <c r="K36">
        <v>70.061899999999994</v>
      </c>
      <c r="L36" t="s">
        <v>13</v>
      </c>
    </row>
    <row r="37" spans="1:12" x14ac:dyDescent="0.35">
      <c r="A37">
        <v>0.11</v>
      </c>
      <c r="B37" t="s">
        <v>30</v>
      </c>
      <c r="C37">
        <v>0.32340000000000002</v>
      </c>
      <c r="D37">
        <v>0.41699999999999998</v>
      </c>
      <c r="E37">
        <v>0.7621</v>
      </c>
      <c r="F37">
        <v>7.3647999999999998</v>
      </c>
      <c r="G37">
        <v>0.83350000000000002</v>
      </c>
      <c r="H37">
        <v>8.1982999999999997</v>
      </c>
      <c r="I37">
        <v>5</v>
      </c>
      <c r="J37">
        <v>0</v>
      </c>
      <c r="K37">
        <v>50.624400000000001</v>
      </c>
      <c r="L37" t="s">
        <v>13</v>
      </c>
    </row>
    <row r="38" spans="1:12" x14ac:dyDescent="0.35">
      <c r="A38">
        <v>0.12</v>
      </c>
      <c r="B38" t="s">
        <v>12</v>
      </c>
      <c r="C38">
        <v>0.19489999999999999</v>
      </c>
      <c r="D38">
        <v>1.8831</v>
      </c>
      <c r="E38">
        <v>2.1061000000000001</v>
      </c>
      <c r="F38">
        <v>7.5335000000000001</v>
      </c>
      <c r="G38">
        <v>0.66679999999999995</v>
      </c>
      <c r="H38">
        <v>8.2003000000000004</v>
      </c>
      <c r="I38">
        <v>4</v>
      </c>
      <c r="J38">
        <v>0</v>
      </c>
      <c r="K38">
        <v>198.31190000000001</v>
      </c>
      <c r="L38" t="s">
        <v>13</v>
      </c>
    </row>
    <row r="39" spans="1:12" x14ac:dyDescent="0.35">
      <c r="A39">
        <v>0.12</v>
      </c>
      <c r="B39" t="s">
        <v>14</v>
      </c>
      <c r="C39">
        <v>0.15970000000000001</v>
      </c>
      <c r="D39">
        <v>18.271899999999999</v>
      </c>
      <c r="E39">
        <v>18.505400000000002</v>
      </c>
      <c r="F39">
        <v>7.7112999999999996</v>
      </c>
      <c r="G39">
        <v>0.50009999999999999</v>
      </c>
      <c r="H39">
        <v>8.2113999999999994</v>
      </c>
      <c r="I39">
        <v>3</v>
      </c>
      <c r="J39">
        <v>0</v>
      </c>
      <c r="K39">
        <v>183.62440000000001</v>
      </c>
      <c r="L39" t="s">
        <v>13</v>
      </c>
    </row>
    <row r="40" spans="1:12" x14ac:dyDescent="0.35">
      <c r="A40">
        <v>0.12</v>
      </c>
      <c r="B40" t="s">
        <v>15</v>
      </c>
      <c r="C40">
        <v>0.2019</v>
      </c>
      <c r="D40">
        <v>1.2605</v>
      </c>
      <c r="E40">
        <v>1.4833000000000001</v>
      </c>
      <c r="F40">
        <v>7.3772000000000002</v>
      </c>
      <c r="G40">
        <v>0.83350000000000002</v>
      </c>
      <c r="H40">
        <v>8.2106999999999992</v>
      </c>
      <c r="I40">
        <v>5</v>
      </c>
      <c r="J40">
        <v>0</v>
      </c>
      <c r="K40">
        <v>177.81190000000001</v>
      </c>
      <c r="L40" t="s">
        <v>13</v>
      </c>
    </row>
    <row r="41" spans="1:12" x14ac:dyDescent="0.35">
      <c r="A41">
        <v>0.12</v>
      </c>
      <c r="B41" t="s">
        <v>16</v>
      </c>
      <c r="C41">
        <v>0.15609999999999999</v>
      </c>
      <c r="D41">
        <v>3.2039</v>
      </c>
      <c r="E41">
        <v>3.3820000000000001</v>
      </c>
      <c r="F41">
        <v>7.5061</v>
      </c>
      <c r="G41">
        <v>0.66679999999999995</v>
      </c>
      <c r="H41">
        <v>8.1729000000000003</v>
      </c>
      <c r="I41">
        <v>4</v>
      </c>
      <c r="J41">
        <v>0</v>
      </c>
      <c r="K41">
        <v>167.81190000000001</v>
      </c>
      <c r="L41" t="s">
        <v>13</v>
      </c>
    </row>
    <row r="42" spans="1:12" x14ac:dyDescent="0.35">
      <c r="A42">
        <v>0.12</v>
      </c>
      <c r="B42" t="s">
        <v>17</v>
      </c>
      <c r="C42">
        <v>0.159</v>
      </c>
      <c r="D42">
        <v>1.0039</v>
      </c>
      <c r="E42">
        <v>1.1809000000000001</v>
      </c>
      <c r="F42">
        <v>7.6775000000000002</v>
      </c>
      <c r="G42">
        <v>0.33339999999999997</v>
      </c>
      <c r="H42">
        <v>8.0108999999999995</v>
      </c>
      <c r="I42">
        <v>2</v>
      </c>
      <c r="J42">
        <v>0</v>
      </c>
      <c r="K42">
        <v>170.43690000000001</v>
      </c>
      <c r="L42" t="s">
        <v>13</v>
      </c>
    </row>
    <row r="43" spans="1:12" x14ac:dyDescent="0.35">
      <c r="A43">
        <v>0.12</v>
      </c>
      <c r="B43" t="s">
        <v>18</v>
      </c>
      <c r="C43">
        <v>0.23430000000000001</v>
      </c>
      <c r="D43">
        <v>1.2992999999999999</v>
      </c>
      <c r="E43">
        <v>1.5390999999999999</v>
      </c>
      <c r="F43">
        <v>7.4626000000000001</v>
      </c>
      <c r="G43">
        <v>0.66679999999999995</v>
      </c>
      <c r="H43">
        <v>8.1294000000000004</v>
      </c>
      <c r="I43">
        <v>4</v>
      </c>
      <c r="J43">
        <v>0</v>
      </c>
      <c r="K43">
        <v>181.37440000000001</v>
      </c>
      <c r="L43" t="s">
        <v>13</v>
      </c>
    </row>
    <row r="44" spans="1:12" x14ac:dyDescent="0.35">
      <c r="A44">
        <v>0.12</v>
      </c>
      <c r="B44" t="s">
        <v>19</v>
      </c>
      <c r="C44">
        <v>0.1671</v>
      </c>
      <c r="D44">
        <v>11.223100000000001</v>
      </c>
      <c r="E44">
        <v>11.4293</v>
      </c>
      <c r="F44">
        <v>7.7088000000000001</v>
      </c>
      <c r="G44">
        <v>0.50009999999999999</v>
      </c>
      <c r="H44">
        <v>8.2088999999999999</v>
      </c>
      <c r="I44">
        <v>3</v>
      </c>
      <c r="J44">
        <v>0</v>
      </c>
      <c r="K44">
        <v>182.99940000000001</v>
      </c>
      <c r="L44" t="s">
        <v>13</v>
      </c>
    </row>
    <row r="45" spans="1:12" x14ac:dyDescent="0.35">
      <c r="A45">
        <v>0.12</v>
      </c>
      <c r="B45" t="s">
        <v>20</v>
      </c>
      <c r="C45">
        <v>0.1275</v>
      </c>
      <c r="D45">
        <v>6.2786</v>
      </c>
      <c r="E45">
        <v>6.4263000000000003</v>
      </c>
      <c r="F45">
        <v>7.3704000000000001</v>
      </c>
      <c r="G45">
        <v>0.83350000000000002</v>
      </c>
      <c r="H45">
        <v>8.2039000000000009</v>
      </c>
      <c r="I45">
        <v>5</v>
      </c>
      <c r="J45">
        <v>0</v>
      </c>
      <c r="K45">
        <v>173.18690000000001</v>
      </c>
      <c r="L45" t="s">
        <v>13</v>
      </c>
    </row>
    <row r="46" spans="1:12" x14ac:dyDescent="0.35">
      <c r="A46">
        <v>0.12</v>
      </c>
      <c r="B46" t="s">
        <v>21</v>
      </c>
      <c r="C46">
        <v>0.19359999999999999</v>
      </c>
      <c r="D46">
        <v>10.7294</v>
      </c>
      <c r="E46">
        <v>10.9305</v>
      </c>
      <c r="F46">
        <v>7.3021000000000003</v>
      </c>
      <c r="G46">
        <v>0.83350000000000002</v>
      </c>
      <c r="H46">
        <v>8.1356000000000002</v>
      </c>
      <c r="I46">
        <v>5</v>
      </c>
      <c r="J46">
        <v>0</v>
      </c>
      <c r="K46">
        <v>176.81190000000001</v>
      </c>
      <c r="L46" t="s">
        <v>13</v>
      </c>
    </row>
    <row r="47" spans="1:12" x14ac:dyDescent="0.35">
      <c r="A47">
        <v>0.12</v>
      </c>
      <c r="B47" t="s">
        <v>22</v>
      </c>
      <c r="C47">
        <v>0.40710000000000002</v>
      </c>
      <c r="D47">
        <v>1.5707</v>
      </c>
      <c r="E47">
        <v>2.0041000000000002</v>
      </c>
      <c r="F47">
        <v>7.3846999999999996</v>
      </c>
      <c r="G47">
        <v>0.83350000000000002</v>
      </c>
      <c r="H47">
        <v>8.2181999999999995</v>
      </c>
      <c r="I47">
        <v>5</v>
      </c>
      <c r="J47">
        <v>0</v>
      </c>
      <c r="K47">
        <v>162.18690000000001</v>
      </c>
      <c r="L47" t="s">
        <v>13</v>
      </c>
    </row>
    <row r="48" spans="1:12" x14ac:dyDescent="0.35">
      <c r="A48">
        <v>0.12</v>
      </c>
      <c r="B48" t="s">
        <v>23</v>
      </c>
      <c r="C48">
        <v>0.2407</v>
      </c>
      <c r="D48">
        <v>25.6572</v>
      </c>
      <c r="E48">
        <v>25.920500000000001</v>
      </c>
      <c r="F48">
        <v>7.3962000000000003</v>
      </c>
      <c r="G48">
        <v>0.66679999999999995</v>
      </c>
      <c r="H48">
        <v>8.0630000000000006</v>
      </c>
      <c r="I48">
        <v>4</v>
      </c>
      <c r="J48">
        <v>0</v>
      </c>
      <c r="K48">
        <v>137.87440000000001</v>
      </c>
      <c r="L48" t="s">
        <v>13</v>
      </c>
    </row>
    <row r="49" spans="1:12" x14ac:dyDescent="0.35">
      <c r="A49">
        <v>0.12</v>
      </c>
      <c r="B49" t="s">
        <v>24</v>
      </c>
      <c r="C49">
        <v>0.16539999999999999</v>
      </c>
      <c r="D49">
        <v>7.6452</v>
      </c>
      <c r="E49">
        <v>7.8303000000000003</v>
      </c>
      <c r="F49">
        <v>7.3825000000000003</v>
      </c>
      <c r="G49">
        <v>0.83350000000000002</v>
      </c>
      <c r="H49">
        <v>8.2159999999999993</v>
      </c>
      <c r="I49">
        <v>5</v>
      </c>
      <c r="J49">
        <v>0</v>
      </c>
      <c r="K49">
        <v>112.87439999999999</v>
      </c>
      <c r="L49" t="s">
        <v>13</v>
      </c>
    </row>
    <row r="50" spans="1:12" x14ac:dyDescent="0.35">
      <c r="A50">
        <v>0.12</v>
      </c>
      <c r="B50" t="s">
        <v>25</v>
      </c>
      <c r="C50">
        <v>0.24740000000000001</v>
      </c>
      <c r="D50">
        <v>11.468</v>
      </c>
      <c r="E50">
        <v>11.7362</v>
      </c>
      <c r="F50">
        <v>7.5285000000000002</v>
      </c>
      <c r="G50">
        <v>0.66679999999999995</v>
      </c>
      <c r="H50">
        <v>8.1952999999999996</v>
      </c>
      <c r="I50">
        <v>4</v>
      </c>
      <c r="J50">
        <v>0</v>
      </c>
      <c r="K50">
        <v>104.62439999999999</v>
      </c>
      <c r="L50" t="s">
        <v>13</v>
      </c>
    </row>
    <row r="51" spans="1:12" x14ac:dyDescent="0.35">
      <c r="A51">
        <v>0.12</v>
      </c>
      <c r="B51" t="s">
        <v>26</v>
      </c>
      <c r="C51">
        <v>0.15820000000000001</v>
      </c>
      <c r="D51">
        <v>396.5641</v>
      </c>
      <c r="E51">
        <v>396.7396</v>
      </c>
      <c r="F51">
        <v>7.7069999999999999</v>
      </c>
      <c r="G51">
        <v>0.50009999999999999</v>
      </c>
      <c r="H51">
        <v>8.2071000000000005</v>
      </c>
      <c r="I51">
        <v>3</v>
      </c>
      <c r="J51">
        <v>0</v>
      </c>
      <c r="K51">
        <v>97.999399999999994</v>
      </c>
      <c r="L51" t="s">
        <v>13</v>
      </c>
    </row>
    <row r="52" spans="1:12" x14ac:dyDescent="0.35">
      <c r="A52">
        <v>0.12</v>
      </c>
      <c r="B52" t="s">
        <v>27</v>
      </c>
      <c r="C52">
        <v>0.1158</v>
      </c>
      <c r="D52">
        <v>15.593999999999999</v>
      </c>
      <c r="E52">
        <v>15.747</v>
      </c>
      <c r="F52">
        <v>7.3110999999999997</v>
      </c>
      <c r="G52">
        <v>0.83350000000000002</v>
      </c>
      <c r="H52">
        <v>8.1446000000000005</v>
      </c>
      <c r="I52">
        <v>5</v>
      </c>
      <c r="J52">
        <v>0</v>
      </c>
      <c r="K52">
        <v>106.56189999999999</v>
      </c>
      <c r="L52" t="s">
        <v>13</v>
      </c>
    </row>
    <row r="53" spans="1:12" x14ac:dyDescent="0.35">
      <c r="A53">
        <v>0.12</v>
      </c>
      <c r="B53" t="s">
        <v>28</v>
      </c>
      <c r="C53">
        <v>0.2999</v>
      </c>
      <c r="D53">
        <v>1.9987999999999999</v>
      </c>
      <c r="E53">
        <v>2.3342999999999998</v>
      </c>
      <c r="F53">
        <v>7.2946</v>
      </c>
      <c r="G53">
        <v>0.83350000000000002</v>
      </c>
      <c r="H53">
        <v>8.1280999999999999</v>
      </c>
      <c r="I53">
        <v>5</v>
      </c>
      <c r="J53">
        <v>0</v>
      </c>
      <c r="K53">
        <v>89.686899999999994</v>
      </c>
      <c r="L53" t="s">
        <v>13</v>
      </c>
    </row>
    <row r="54" spans="1:12" x14ac:dyDescent="0.35">
      <c r="A54">
        <v>0.12</v>
      </c>
      <c r="B54" t="s">
        <v>29</v>
      </c>
      <c r="C54">
        <v>0.2</v>
      </c>
      <c r="D54">
        <v>31.8993</v>
      </c>
      <c r="E54">
        <v>32.133200000000002</v>
      </c>
      <c r="F54">
        <v>7.5213000000000001</v>
      </c>
      <c r="G54">
        <v>0.66679999999999995</v>
      </c>
      <c r="H54">
        <v>8.1881000000000004</v>
      </c>
      <c r="I54">
        <v>4</v>
      </c>
      <c r="J54">
        <v>0</v>
      </c>
      <c r="K54">
        <v>78.749399999999994</v>
      </c>
      <c r="L54" t="s">
        <v>13</v>
      </c>
    </row>
    <row r="55" spans="1:12" x14ac:dyDescent="0.35">
      <c r="A55">
        <v>0.12</v>
      </c>
      <c r="B55" t="s">
        <v>30</v>
      </c>
      <c r="C55">
        <v>0.24779999999999999</v>
      </c>
      <c r="D55">
        <v>2.3119000000000001</v>
      </c>
      <c r="E55">
        <v>2.5951</v>
      </c>
      <c r="F55">
        <v>7.3750999999999998</v>
      </c>
      <c r="G55">
        <v>0.83350000000000002</v>
      </c>
      <c r="H55">
        <v>8.2086000000000006</v>
      </c>
      <c r="I55">
        <v>5</v>
      </c>
      <c r="J55">
        <v>0</v>
      </c>
      <c r="K55">
        <v>51.6875</v>
      </c>
      <c r="L55" t="s">
        <v>13</v>
      </c>
    </row>
    <row r="56" spans="1:12" x14ac:dyDescent="0.35">
      <c r="A56">
        <v>0.13</v>
      </c>
      <c r="B56" t="s">
        <v>12</v>
      </c>
      <c r="C56">
        <v>0.21640000000000001</v>
      </c>
      <c r="D56">
        <v>1.8985000000000001</v>
      </c>
      <c r="E56">
        <v>2.1675</v>
      </c>
      <c r="F56">
        <v>7.5335000000000001</v>
      </c>
      <c r="G56">
        <v>0.66679999999999995</v>
      </c>
      <c r="H56">
        <v>8.2003000000000004</v>
      </c>
      <c r="I56">
        <v>4</v>
      </c>
      <c r="J56">
        <v>0</v>
      </c>
      <c r="K56">
        <v>198.31190000000001</v>
      </c>
      <c r="L56" t="s">
        <v>13</v>
      </c>
    </row>
    <row r="57" spans="1:12" x14ac:dyDescent="0.35">
      <c r="A57">
        <v>0.13</v>
      </c>
      <c r="B57" t="s">
        <v>14</v>
      </c>
      <c r="C57">
        <v>0.19089999999999999</v>
      </c>
      <c r="D57">
        <v>2.7755999999999998</v>
      </c>
      <c r="E57">
        <v>3.0144000000000002</v>
      </c>
      <c r="F57">
        <v>7.7016999999999998</v>
      </c>
      <c r="G57">
        <v>0.50009999999999999</v>
      </c>
      <c r="H57">
        <v>8.2018000000000004</v>
      </c>
      <c r="I57">
        <v>3</v>
      </c>
      <c r="J57">
        <v>0</v>
      </c>
      <c r="K57">
        <v>191.74940000000001</v>
      </c>
      <c r="L57" t="s">
        <v>13</v>
      </c>
    </row>
    <row r="58" spans="1:12" x14ac:dyDescent="0.35">
      <c r="A58">
        <v>0.13</v>
      </c>
      <c r="B58" t="s">
        <v>15</v>
      </c>
      <c r="C58">
        <v>0.27010000000000001</v>
      </c>
      <c r="D58">
        <v>1.1578999999999999</v>
      </c>
      <c r="E58">
        <v>1.4599</v>
      </c>
      <c r="F58">
        <v>7.4843000000000002</v>
      </c>
      <c r="G58">
        <v>0.66679999999999995</v>
      </c>
      <c r="H58">
        <v>8.1510999999999996</v>
      </c>
      <c r="I58">
        <v>4</v>
      </c>
      <c r="J58">
        <v>0</v>
      </c>
      <c r="K58">
        <v>175.81190000000001</v>
      </c>
      <c r="L58" t="s">
        <v>13</v>
      </c>
    </row>
    <row r="59" spans="1:12" x14ac:dyDescent="0.35">
      <c r="A59">
        <v>0.13</v>
      </c>
      <c r="B59" t="s">
        <v>16</v>
      </c>
      <c r="C59">
        <v>0.30430000000000001</v>
      </c>
      <c r="D59">
        <v>0.37790000000000001</v>
      </c>
      <c r="E59">
        <v>0.70399999999999996</v>
      </c>
      <c r="F59">
        <v>7.5182000000000002</v>
      </c>
      <c r="G59">
        <v>0.50009999999999999</v>
      </c>
      <c r="H59">
        <v>8.0183</v>
      </c>
      <c r="I59">
        <v>3</v>
      </c>
      <c r="J59">
        <v>0</v>
      </c>
      <c r="K59">
        <v>165.06190000000001</v>
      </c>
      <c r="L59" t="s">
        <v>13</v>
      </c>
    </row>
    <row r="60" spans="1:12" x14ac:dyDescent="0.35">
      <c r="A60">
        <v>0.13</v>
      </c>
      <c r="B60" t="s">
        <v>17</v>
      </c>
      <c r="C60">
        <v>0.22109999999999999</v>
      </c>
      <c r="D60">
        <v>1.1667000000000001</v>
      </c>
      <c r="E60">
        <v>1.4351</v>
      </c>
      <c r="F60">
        <v>7.3407999999999998</v>
      </c>
      <c r="G60">
        <v>0.50009999999999999</v>
      </c>
      <c r="H60">
        <v>7.8409000000000004</v>
      </c>
      <c r="I60">
        <v>3</v>
      </c>
      <c r="J60">
        <v>0</v>
      </c>
      <c r="K60">
        <v>171.12440000000001</v>
      </c>
      <c r="L60" t="s">
        <v>13</v>
      </c>
    </row>
    <row r="61" spans="1:12" x14ac:dyDescent="0.35">
      <c r="A61">
        <v>0.13</v>
      </c>
      <c r="B61" t="s">
        <v>18</v>
      </c>
      <c r="C61">
        <v>0.27610000000000001</v>
      </c>
      <c r="D61">
        <v>1.1697</v>
      </c>
      <c r="E61">
        <v>1.4856</v>
      </c>
      <c r="F61">
        <v>7.5678999999999998</v>
      </c>
      <c r="G61">
        <v>0.50009999999999999</v>
      </c>
      <c r="H61">
        <v>8.0679999999999996</v>
      </c>
      <c r="I61">
        <v>3</v>
      </c>
      <c r="J61">
        <v>0</v>
      </c>
      <c r="K61">
        <v>182.93690000000001</v>
      </c>
      <c r="L61" t="s">
        <v>13</v>
      </c>
    </row>
    <row r="62" spans="1:12" x14ac:dyDescent="0.35">
      <c r="A62">
        <v>0.13</v>
      </c>
      <c r="B62" t="s">
        <v>19</v>
      </c>
      <c r="C62">
        <v>0.1953</v>
      </c>
      <c r="D62">
        <v>35.087200000000003</v>
      </c>
      <c r="E62">
        <v>35.345599999999997</v>
      </c>
      <c r="F62">
        <v>7.3746999999999998</v>
      </c>
      <c r="G62">
        <v>0.83350000000000002</v>
      </c>
      <c r="H62">
        <v>8.2081999999999997</v>
      </c>
      <c r="I62">
        <v>5</v>
      </c>
      <c r="J62">
        <v>0</v>
      </c>
      <c r="K62">
        <v>189.56190000000001</v>
      </c>
      <c r="L62" t="s">
        <v>13</v>
      </c>
    </row>
    <row r="63" spans="1:12" x14ac:dyDescent="0.35">
      <c r="A63">
        <v>0.13</v>
      </c>
      <c r="B63" t="s">
        <v>20</v>
      </c>
      <c r="C63">
        <v>0.1852</v>
      </c>
      <c r="D63">
        <v>2.6755</v>
      </c>
      <c r="E63">
        <v>2.9100999999999999</v>
      </c>
      <c r="F63">
        <v>7.6479999999999997</v>
      </c>
      <c r="G63">
        <v>0.50009999999999999</v>
      </c>
      <c r="H63">
        <v>8.1480999999999995</v>
      </c>
      <c r="I63">
        <v>3</v>
      </c>
      <c r="J63">
        <v>0</v>
      </c>
      <c r="K63">
        <v>189.06190000000001</v>
      </c>
      <c r="L63" t="s">
        <v>13</v>
      </c>
    </row>
    <row r="64" spans="1:12" x14ac:dyDescent="0.35">
      <c r="A64">
        <v>0.13</v>
      </c>
      <c r="B64" t="s">
        <v>21</v>
      </c>
      <c r="C64">
        <v>0.19570000000000001</v>
      </c>
      <c r="D64">
        <v>14.424899999999999</v>
      </c>
      <c r="E64">
        <v>14.643800000000001</v>
      </c>
      <c r="F64">
        <v>7.3803999999999998</v>
      </c>
      <c r="G64">
        <v>0.83350000000000002</v>
      </c>
      <c r="H64">
        <v>8.2139000000000006</v>
      </c>
      <c r="I64">
        <v>5</v>
      </c>
      <c r="J64">
        <v>0</v>
      </c>
      <c r="K64">
        <v>185.37440000000001</v>
      </c>
      <c r="L64" t="s">
        <v>13</v>
      </c>
    </row>
    <row r="65" spans="1:12" x14ac:dyDescent="0.35">
      <c r="A65">
        <v>0.13</v>
      </c>
      <c r="B65" t="s">
        <v>22</v>
      </c>
      <c r="C65">
        <v>0.33150000000000002</v>
      </c>
      <c r="D65">
        <v>1.3427</v>
      </c>
      <c r="E65">
        <v>1.7303999999999999</v>
      </c>
      <c r="F65">
        <v>7.3064999999999998</v>
      </c>
      <c r="G65">
        <v>0.83350000000000002</v>
      </c>
      <c r="H65">
        <v>8.14</v>
      </c>
      <c r="I65">
        <v>5</v>
      </c>
      <c r="J65">
        <v>0</v>
      </c>
      <c r="K65">
        <v>167.12440000000001</v>
      </c>
      <c r="L65" t="s">
        <v>13</v>
      </c>
    </row>
    <row r="66" spans="1:12" x14ac:dyDescent="0.35">
      <c r="A66">
        <v>0.13</v>
      </c>
      <c r="B66" t="s">
        <v>23</v>
      </c>
      <c r="C66">
        <v>0.307</v>
      </c>
      <c r="D66">
        <v>27.103999999999999</v>
      </c>
      <c r="E66">
        <v>27.487300000000001</v>
      </c>
      <c r="F66">
        <v>7.5136000000000003</v>
      </c>
      <c r="G66">
        <v>0.66679999999999995</v>
      </c>
      <c r="H66">
        <v>8.1804000000000006</v>
      </c>
      <c r="I66">
        <v>4</v>
      </c>
      <c r="J66">
        <v>0</v>
      </c>
      <c r="K66">
        <v>142.99940000000001</v>
      </c>
      <c r="L66" t="s">
        <v>13</v>
      </c>
    </row>
    <row r="67" spans="1:12" x14ac:dyDescent="0.35">
      <c r="A67">
        <v>0.13</v>
      </c>
      <c r="B67" t="s">
        <v>24</v>
      </c>
      <c r="C67">
        <v>0.3473</v>
      </c>
      <c r="D67">
        <v>5.4467999999999996</v>
      </c>
      <c r="E67">
        <v>5.8122999999999996</v>
      </c>
      <c r="F67">
        <v>7.3746999999999998</v>
      </c>
      <c r="G67">
        <v>0.83350000000000002</v>
      </c>
      <c r="H67">
        <v>8.2081999999999997</v>
      </c>
      <c r="I67">
        <v>5</v>
      </c>
      <c r="J67">
        <v>0</v>
      </c>
      <c r="K67">
        <v>116.18689999999999</v>
      </c>
      <c r="L67" t="s">
        <v>13</v>
      </c>
    </row>
    <row r="68" spans="1:12" x14ac:dyDescent="0.35">
      <c r="A68">
        <v>0.13</v>
      </c>
      <c r="B68" t="s">
        <v>25</v>
      </c>
      <c r="C68">
        <v>0.24709999999999999</v>
      </c>
      <c r="D68">
        <v>246.38849999999999</v>
      </c>
      <c r="E68">
        <v>246.64949999999999</v>
      </c>
      <c r="F68">
        <v>7.3779000000000003</v>
      </c>
      <c r="G68">
        <v>0.83350000000000002</v>
      </c>
      <c r="H68">
        <v>8.2113999999999994</v>
      </c>
      <c r="I68">
        <v>5</v>
      </c>
      <c r="J68">
        <v>0</v>
      </c>
      <c r="K68">
        <v>105.62439999999999</v>
      </c>
      <c r="L68" t="s">
        <v>13</v>
      </c>
    </row>
    <row r="69" spans="1:12" x14ac:dyDescent="0.35">
      <c r="A69">
        <v>0.13</v>
      </c>
      <c r="B69" t="s">
        <v>26</v>
      </c>
      <c r="C69">
        <v>0.16170000000000001</v>
      </c>
      <c r="D69">
        <v>49.634500000000003</v>
      </c>
      <c r="E69">
        <v>49.866</v>
      </c>
      <c r="F69">
        <v>7.4992000000000001</v>
      </c>
      <c r="G69">
        <v>0.66679999999999995</v>
      </c>
      <c r="H69">
        <v>8.1660000000000004</v>
      </c>
      <c r="I69">
        <v>4</v>
      </c>
      <c r="J69">
        <v>0</v>
      </c>
      <c r="K69">
        <v>102.12439999999999</v>
      </c>
      <c r="L69" t="s">
        <v>13</v>
      </c>
    </row>
    <row r="70" spans="1:12" x14ac:dyDescent="0.35">
      <c r="A70">
        <v>0.13</v>
      </c>
      <c r="B70" t="s">
        <v>27</v>
      </c>
      <c r="C70">
        <v>0.28360000000000002</v>
      </c>
      <c r="D70">
        <v>268.5684</v>
      </c>
      <c r="E70">
        <v>268.89240000000001</v>
      </c>
      <c r="F70">
        <v>7.1310000000000002</v>
      </c>
      <c r="G70">
        <v>0.83350000000000002</v>
      </c>
      <c r="H70">
        <v>7.9645000000000001</v>
      </c>
      <c r="I70">
        <v>5</v>
      </c>
      <c r="J70">
        <v>0</v>
      </c>
      <c r="K70">
        <v>115.12439999999999</v>
      </c>
      <c r="L70" t="s">
        <v>13</v>
      </c>
    </row>
    <row r="71" spans="1:12" x14ac:dyDescent="0.35">
      <c r="A71">
        <v>0.13</v>
      </c>
      <c r="B71" t="s">
        <v>28</v>
      </c>
      <c r="C71">
        <v>0.1124</v>
      </c>
      <c r="D71">
        <v>6.1315</v>
      </c>
      <c r="E71">
        <v>6.2816999999999998</v>
      </c>
      <c r="F71">
        <v>7.3606999999999996</v>
      </c>
      <c r="G71">
        <v>0.83350000000000002</v>
      </c>
      <c r="H71">
        <v>8.1942000000000004</v>
      </c>
      <c r="I71">
        <v>5</v>
      </c>
      <c r="J71">
        <v>0</v>
      </c>
      <c r="K71">
        <v>99.061899999999994</v>
      </c>
      <c r="L71" t="s">
        <v>13</v>
      </c>
    </row>
    <row r="72" spans="1:12" x14ac:dyDescent="0.35">
      <c r="A72">
        <v>0.13</v>
      </c>
      <c r="B72" t="s">
        <v>29</v>
      </c>
      <c r="C72">
        <v>0.16689999999999999</v>
      </c>
      <c r="D72">
        <v>0.36620000000000003</v>
      </c>
      <c r="E72">
        <v>0.56730000000000003</v>
      </c>
      <c r="F72">
        <v>7.2968000000000002</v>
      </c>
      <c r="G72">
        <v>0.83350000000000002</v>
      </c>
      <c r="H72">
        <v>8.1303000000000001</v>
      </c>
      <c r="I72">
        <v>5</v>
      </c>
      <c r="J72">
        <v>0</v>
      </c>
      <c r="K72">
        <v>85.499399999999994</v>
      </c>
      <c r="L72" t="s">
        <v>13</v>
      </c>
    </row>
    <row r="73" spans="1:12" x14ac:dyDescent="0.35">
      <c r="A73">
        <v>0.13</v>
      </c>
      <c r="B73" t="s">
        <v>30</v>
      </c>
      <c r="C73">
        <v>0.1832</v>
      </c>
      <c r="D73">
        <v>0.3</v>
      </c>
      <c r="E73">
        <v>0.51680000000000004</v>
      </c>
      <c r="F73">
        <v>7.3647999999999998</v>
      </c>
      <c r="G73">
        <v>0.83350000000000002</v>
      </c>
      <c r="H73">
        <v>8.1982999999999997</v>
      </c>
      <c r="I73">
        <v>5</v>
      </c>
      <c r="J73">
        <v>0</v>
      </c>
      <c r="K73">
        <v>59.749400000000001</v>
      </c>
      <c r="L73" t="s">
        <v>13</v>
      </c>
    </row>
    <row r="74" spans="1:12" x14ac:dyDescent="0.35">
      <c r="A74">
        <v>0.14000000000000001</v>
      </c>
      <c r="B74" t="s">
        <v>12</v>
      </c>
      <c r="C74">
        <v>0.20050000000000001</v>
      </c>
      <c r="D74">
        <v>1.9247000000000001</v>
      </c>
      <c r="E74">
        <v>2.1781000000000001</v>
      </c>
      <c r="F74">
        <v>7.5335000000000001</v>
      </c>
      <c r="G74">
        <v>0.66679999999999995</v>
      </c>
      <c r="H74">
        <v>8.2003000000000004</v>
      </c>
      <c r="I74">
        <v>4</v>
      </c>
      <c r="J74">
        <v>0</v>
      </c>
      <c r="K74">
        <v>198.31190000000001</v>
      </c>
      <c r="L74" t="s">
        <v>13</v>
      </c>
    </row>
    <row r="75" spans="1:12" x14ac:dyDescent="0.35">
      <c r="A75">
        <v>0.14000000000000001</v>
      </c>
      <c r="B75" t="s">
        <v>14</v>
      </c>
      <c r="C75">
        <v>0.1754</v>
      </c>
      <c r="D75">
        <v>2.7959999999999998</v>
      </c>
      <c r="E75">
        <v>3.0044</v>
      </c>
      <c r="F75">
        <v>7.7016999999999998</v>
      </c>
      <c r="G75">
        <v>0.50009999999999999</v>
      </c>
      <c r="H75">
        <v>8.2018000000000004</v>
      </c>
      <c r="I75">
        <v>3</v>
      </c>
      <c r="J75">
        <v>0</v>
      </c>
      <c r="K75">
        <v>191.74940000000001</v>
      </c>
      <c r="L75" t="s">
        <v>13</v>
      </c>
    </row>
    <row r="76" spans="1:12" x14ac:dyDescent="0.35">
      <c r="A76">
        <v>0.14000000000000001</v>
      </c>
      <c r="B76" t="s">
        <v>15</v>
      </c>
      <c r="C76">
        <v>0.25330000000000003</v>
      </c>
      <c r="D76">
        <v>0.9294</v>
      </c>
      <c r="E76">
        <v>1.1988000000000001</v>
      </c>
      <c r="F76">
        <v>7.6060999999999996</v>
      </c>
      <c r="G76">
        <v>0.50009999999999999</v>
      </c>
      <c r="H76">
        <v>8.1061999999999994</v>
      </c>
      <c r="I76">
        <v>3</v>
      </c>
      <c r="J76">
        <v>0</v>
      </c>
      <c r="K76">
        <v>180.18690000000001</v>
      </c>
      <c r="L76" t="s">
        <v>13</v>
      </c>
    </row>
    <row r="77" spans="1:12" x14ac:dyDescent="0.35">
      <c r="A77">
        <v>0.14000000000000001</v>
      </c>
      <c r="B77" t="s">
        <v>16</v>
      </c>
      <c r="C77">
        <v>0.94</v>
      </c>
      <c r="D77">
        <v>0.5867</v>
      </c>
      <c r="E77">
        <v>1.5716000000000001</v>
      </c>
      <c r="F77">
        <v>7.4843000000000002</v>
      </c>
      <c r="G77">
        <v>0.66679999999999995</v>
      </c>
      <c r="H77">
        <v>8.1510999999999996</v>
      </c>
      <c r="I77">
        <v>4</v>
      </c>
      <c r="J77">
        <v>0</v>
      </c>
      <c r="K77">
        <v>171.74940000000001</v>
      </c>
      <c r="L77" t="s">
        <v>13</v>
      </c>
    </row>
    <row r="78" spans="1:12" x14ac:dyDescent="0.35">
      <c r="A78">
        <v>0.14000000000000001</v>
      </c>
      <c r="B78" t="s">
        <v>17</v>
      </c>
      <c r="C78">
        <v>0.17549999999999999</v>
      </c>
      <c r="D78">
        <v>0.90290000000000004</v>
      </c>
      <c r="E78">
        <v>1.1308</v>
      </c>
      <c r="F78">
        <v>7.6287000000000003</v>
      </c>
      <c r="G78">
        <v>0.50009999999999999</v>
      </c>
      <c r="H78">
        <v>8.1288</v>
      </c>
      <c r="I78">
        <v>3</v>
      </c>
      <c r="J78">
        <v>0</v>
      </c>
      <c r="K78">
        <v>169.87440000000001</v>
      </c>
      <c r="L78" t="s">
        <v>13</v>
      </c>
    </row>
    <row r="79" spans="1:12" x14ac:dyDescent="0.35">
      <c r="A79">
        <v>0.14000000000000001</v>
      </c>
      <c r="B79" t="s">
        <v>18</v>
      </c>
      <c r="C79">
        <v>0.18049999999999999</v>
      </c>
      <c r="D79">
        <v>1.0733999999999999</v>
      </c>
      <c r="E79">
        <v>1.31</v>
      </c>
      <c r="F79">
        <v>7.5505000000000004</v>
      </c>
      <c r="G79">
        <v>0.66679999999999995</v>
      </c>
      <c r="H79">
        <v>8.2172999999999998</v>
      </c>
      <c r="I79">
        <v>4</v>
      </c>
      <c r="J79">
        <v>0</v>
      </c>
      <c r="K79">
        <v>178.93690000000001</v>
      </c>
      <c r="L79" t="s">
        <v>13</v>
      </c>
    </row>
    <row r="80" spans="1:12" x14ac:dyDescent="0.35">
      <c r="A80">
        <v>0.14000000000000001</v>
      </c>
      <c r="B80" t="s">
        <v>19</v>
      </c>
      <c r="C80">
        <v>0.25459999999999999</v>
      </c>
      <c r="D80">
        <v>4.3719999999999999</v>
      </c>
      <c r="E80">
        <v>4.6584000000000003</v>
      </c>
      <c r="F80">
        <v>7.5505000000000004</v>
      </c>
      <c r="G80">
        <v>0.50009999999999999</v>
      </c>
      <c r="H80">
        <v>8.0505999999999993</v>
      </c>
      <c r="I80">
        <v>3</v>
      </c>
      <c r="J80">
        <v>0</v>
      </c>
      <c r="K80">
        <v>186.43690000000001</v>
      </c>
      <c r="L80" t="s">
        <v>13</v>
      </c>
    </row>
    <row r="81" spans="1:12" x14ac:dyDescent="0.35">
      <c r="A81">
        <v>0.14000000000000001</v>
      </c>
      <c r="B81" t="s">
        <v>20</v>
      </c>
      <c r="C81">
        <v>0.19400000000000001</v>
      </c>
      <c r="D81">
        <v>1.9520999999999999</v>
      </c>
      <c r="E81">
        <v>2.1913999999999998</v>
      </c>
      <c r="F81">
        <v>7.6775000000000002</v>
      </c>
      <c r="G81">
        <v>0.50009999999999999</v>
      </c>
      <c r="H81">
        <v>8.1776</v>
      </c>
      <c r="I81">
        <v>3</v>
      </c>
      <c r="J81">
        <v>0</v>
      </c>
      <c r="K81">
        <v>181.81190000000001</v>
      </c>
      <c r="L81" t="s">
        <v>13</v>
      </c>
    </row>
    <row r="82" spans="1:12" x14ac:dyDescent="0.35">
      <c r="A82">
        <v>0.14000000000000001</v>
      </c>
      <c r="B82" t="s">
        <v>21</v>
      </c>
      <c r="C82">
        <v>0.36570000000000003</v>
      </c>
      <c r="D82">
        <v>1.2018</v>
      </c>
      <c r="E82">
        <v>1.59</v>
      </c>
      <c r="F82">
        <v>7.3437000000000001</v>
      </c>
      <c r="G82">
        <v>0.83350000000000002</v>
      </c>
      <c r="H82">
        <v>8.1771999999999991</v>
      </c>
      <c r="I82">
        <v>5</v>
      </c>
      <c r="J82">
        <v>0</v>
      </c>
      <c r="K82">
        <v>174.37440000000001</v>
      </c>
      <c r="L82" t="s">
        <v>13</v>
      </c>
    </row>
    <row r="83" spans="1:12" x14ac:dyDescent="0.35">
      <c r="A83">
        <v>0.14000000000000001</v>
      </c>
      <c r="B83" t="s">
        <v>22</v>
      </c>
      <c r="C83">
        <v>0.34639999999999999</v>
      </c>
      <c r="D83">
        <v>1.2076</v>
      </c>
      <c r="E83">
        <v>1.6051</v>
      </c>
      <c r="F83">
        <v>7.3064999999999998</v>
      </c>
      <c r="G83">
        <v>0.83350000000000002</v>
      </c>
      <c r="H83">
        <v>8.14</v>
      </c>
      <c r="I83">
        <v>5</v>
      </c>
      <c r="J83">
        <v>0</v>
      </c>
      <c r="K83">
        <v>158.81190000000001</v>
      </c>
      <c r="L83" t="s">
        <v>13</v>
      </c>
    </row>
    <row r="84" spans="1:12" x14ac:dyDescent="0.35">
      <c r="A84">
        <v>0.14000000000000001</v>
      </c>
      <c r="B84" t="s">
        <v>23</v>
      </c>
      <c r="C84">
        <v>0.26319999999999999</v>
      </c>
      <c r="D84">
        <v>161.84289999999999</v>
      </c>
      <c r="E84">
        <v>162.27869999999999</v>
      </c>
      <c r="F84">
        <v>7.4352999999999998</v>
      </c>
      <c r="G84">
        <v>0.66679999999999995</v>
      </c>
      <c r="H84">
        <v>8.1021000000000001</v>
      </c>
      <c r="I84">
        <v>4</v>
      </c>
      <c r="J84">
        <v>0</v>
      </c>
      <c r="K84">
        <v>137.99940000000001</v>
      </c>
      <c r="L84" t="s">
        <v>13</v>
      </c>
    </row>
    <row r="85" spans="1:12" x14ac:dyDescent="0.35">
      <c r="A85">
        <v>0.14000000000000001</v>
      </c>
      <c r="B85" t="s">
        <v>24</v>
      </c>
      <c r="C85">
        <v>0.2712</v>
      </c>
      <c r="D85">
        <v>3.9396</v>
      </c>
      <c r="E85">
        <v>4.2484000000000002</v>
      </c>
      <c r="F85">
        <v>7.5016999999999996</v>
      </c>
      <c r="G85">
        <v>0.66679999999999995</v>
      </c>
      <c r="H85">
        <v>8.1684999999999999</v>
      </c>
      <c r="I85">
        <v>4</v>
      </c>
      <c r="J85">
        <v>0</v>
      </c>
      <c r="K85">
        <v>110.12439999999999</v>
      </c>
      <c r="L85" t="s">
        <v>13</v>
      </c>
    </row>
    <row r="86" spans="1:12" x14ac:dyDescent="0.35">
      <c r="A86">
        <v>0.14000000000000001</v>
      </c>
      <c r="B86" t="s">
        <v>25</v>
      </c>
      <c r="C86">
        <v>0.26479999999999998</v>
      </c>
      <c r="D86">
        <v>368.32580000000002</v>
      </c>
      <c r="E86">
        <v>368.64370000000002</v>
      </c>
      <c r="F86">
        <v>7.3779000000000003</v>
      </c>
      <c r="G86">
        <v>0.83350000000000002</v>
      </c>
      <c r="H86">
        <v>8.2113999999999994</v>
      </c>
      <c r="I86">
        <v>5</v>
      </c>
      <c r="J86">
        <v>0</v>
      </c>
      <c r="K86">
        <v>102.81189999999999</v>
      </c>
      <c r="L86" t="s">
        <v>13</v>
      </c>
    </row>
    <row r="87" spans="1:12" x14ac:dyDescent="0.35">
      <c r="A87">
        <v>0.14000000000000001</v>
      </c>
      <c r="B87" t="s">
        <v>26</v>
      </c>
      <c r="C87">
        <v>0.24729999999999999</v>
      </c>
      <c r="D87">
        <v>140.70760000000001</v>
      </c>
      <c r="E87">
        <v>140.9974</v>
      </c>
      <c r="F87">
        <v>7.5505000000000004</v>
      </c>
      <c r="G87">
        <v>0.66679999999999995</v>
      </c>
      <c r="H87">
        <v>8.2172999999999998</v>
      </c>
      <c r="I87">
        <v>4</v>
      </c>
      <c r="J87">
        <v>0</v>
      </c>
      <c r="K87">
        <v>94.936899999999994</v>
      </c>
      <c r="L87" t="s">
        <v>13</v>
      </c>
    </row>
    <row r="88" spans="1:12" x14ac:dyDescent="0.35">
      <c r="A88">
        <v>0.14000000000000001</v>
      </c>
      <c r="B88" t="s">
        <v>27</v>
      </c>
      <c r="C88">
        <v>0.13880000000000001</v>
      </c>
      <c r="D88">
        <v>111.80070000000001</v>
      </c>
      <c r="E88">
        <v>111.97539999999999</v>
      </c>
      <c r="F88">
        <v>7.2502000000000004</v>
      </c>
      <c r="G88">
        <v>0.83350000000000002</v>
      </c>
      <c r="H88">
        <v>8.0837000000000003</v>
      </c>
      <c r="I88">
        <v>5</v>
      </c>
      <c r="J88">
        <v>0</v>
      </c>
      <c r="K88">
        <v>109.06189999999999</v>
      </c>
      <c r="L88" t="s">
        <v>13</v>
      </c>
    </row>
    <row r="89" spans="1:12" x14ac:dyDescent="0.35">
      <c r="A89">
        <v>0.14000000000000001</v>
      </c>
      <c r="B89" t="s">
        <v>28</v>
      </c>
      <c r="C89">
        <v>0.18290000000000001</v>
      </c>
      <c r="D89">
        <v>28.3386</v>
      </c>
      <c r="E89">
        <v>28.561900000000001</v>
      </c>
      <c r="F89">
        <v>7.3510999999999997</v>
      </c>
      <c r="G89">
        <v>0.83350000000000002</v>
      </c>
      <c r="H89">
        <v>8.1845999999999997</v>
      </c>
      <c r="I89">
        <v>5</v>
      </c>
      <c r="J89">
        <v>0</v>
      </c>
      <c r="K89">
        <v>92.499399999999994</v>
      </c>
      <c r="L89" t="s">
        <v>13</v>
      </c>
    </row>
    <row r="90" spans="1:12" x14ac:dyDescent="0.35">
      <c r="A90">
        <v>0.14000000000000001</v>
      </c>
      <c r="B90" t="s">
        <v>29</v>
      </c>
      <c r="C90">
        <v>0.33479999999999999</v>
      </c>
      <c r="D90">
        <v>28.891500000000001</v>
      </c>
      <c r="E90">
        <v>29.249700000000001</v>
      </c>
      <c r="F90">
        <v>7.3360000000000003</v>
      </c>
      <c r="G90">
        <v>0.83350000000000002</v>
      </c>
      <c r="H90">
        <v>8.1694999999999993</v>
      </c>
      <c r="I90">
        <v>5</v>
      </c>
      <c r="J90">
        <v>0</v>
      </c>
      <c r="K90">
        <v>79.249399999999994</v>
      </c>
      <c r="L90" t="s">
        <v>13</v>
      </c>
    </row>
    <row r="91" spans="1:12" x14ac:dyDescent="0.35">
      <c r="A91">
        <v>0.14000000000000001</v>
      </c>
      <c r="B91" t="s">
        <v>30</v>
      </c>
      <c r="C91">
        <v>0.4209</v>
      </c>
      <c r="D91">
        <v>0.49780000000000002</v>
      </c>
      <c r="E91">
        <v>0.93540000000000001</v>
      </c>
      <c r="F91">
        <v>7.3647999999999998</v>
      </c>
      <c r="G91">
        <v>0.83350000000000002</v>
      </c>
      <c r="H91">
        <v>8.1982999999999997</v>
      </c>
      <c r="I91">
        <v>5</v>
      </c>
      <c r="J91">
        <v>0</v>
      </c>
      <c r="K91">
        <v>56.311900000000001</v>
      </c>
      <c r="L91" t="s">
        <v>13</v>
      </c>
    </row>
    <row r="92" spans="1:12" x14ac:dyDescent="0.35">
      <c r="A92">
        <v>0.15</v>
      </c>
      <c r="B92" t="s">
        <v>12</v>
      </c>
      <c r="C92">
        <v>0.19</v>
      </c>
      <c r="D92">
        <v>1.8637999999999999</v>
      </c>
      <c r="E92">
        <v>2.0918999999999999</v>
      </c>
      <c r="F92">
        <v>7.5335000000000001</v>
      </c>
      <c r="G92">
        <v>0.66679999999999995</v>
      </c>
      <c r="H92">
        <v>8.2003000000000004</v>
      </c>
      <c r="I92">
        <v>4</v>
      </c>
      <c r="J92">
        <v>0</v>
      </c>
      <c r="K92">
        <v>198.31190000000001</v>
      </c>
      <c r="L92" t="s">
        <v>13</v>
      </c>
    </row>
    <row r="93" spans="1:12" x14ac:dyDescent="0.35">
      <c r="A93">
        <v>0.15</v>
      </c>
      <c r="B93" t="s">
        <v>14</v>
      </c>
      <c r="C93">
        <v>0.1537</v>
      </c>
      <c r="D93">
        <v>2.6705999999999999</v>
      </c>
      <c r="E93">
        <v>2.8443999999999998</v>
      </c>
      <c r="F93">
        <v>7.7016999999999998</v>
      </c>
      <c r="G93">
        <v>0.50009999999999999</v>
      </c>
      <c r="H93">
        <v>8.2018000000000004</v>
      </c>
      <c r="I93">
        <v>3</v>
      </c>
      <c r="J93">
        <v>0</v>
      </c>
      <c r="K93">
        <v>196.31190000000001</v>
      </c>
      <c r="L93" t="s">
        <v>13</v>
      </c>
    </row>
    <row r="94" spans="1:12" x14ac:dyDescent="0.35">
      <c r="A94">
        <v>0.15</v>
      </c>
      <c r="B94" t="s">
        <v>15</v>
      </c>
      <c r="C94">
        <v>0.26229999999999998</v>
      </c>
      <c r="D94">
        <v>0.9113</v>
      </c>
      <c r="E94">
        <v>1.1855</v>
      </c>
      <c r="F94">
        <v>7.6060999999999996</v>
      </c>
      <c r="G94">
        <v>0.50009999999999999</v>
      </c>
      <c r="H94">
        <v>8.1061999999999994</v>
      </c>
      <c r="I94">
        <v>3</v>
      </c>
      <c r="J94">
        <v>0</v>
      </c>
      <c r="K94">
        <v>180.18690000000001</v>
      </c>
      <c r="L94" t="s">
        <v>13</v>
      </c>
    </row>
    <row r="95" spans="1:12" x14ac:dyDescent="0.35">
      <c r="A95">
        <v>0.15</v>
      </c>
      <c r="B95" t="s">
        <v>16</v>
      </c>
      <c r="C95">
        <v>0.91100000000000003</v>
      </c>
      <c r="D95">
        <v>0.56669999999999998</v>
      </c>
      <c r="E95">
        <v>1.4974000000000001</v>
      </c>
      <c r="F95">
        <v>7.4843000000000002</v>
      </c>
      <c r="G95">
        <v>0.66679999999999995</v>
      </c>
      <c r="H95">
        <v>8.1510999999999996</v>
      </c>
      <c r="I95">
        <v>4</v>
      </c>
      <c r="J95">
        <v>0</v>
      </c>
      <c r="K95">
        <v>171.74940000000001</v>
      </c>
      <c r="L95" t="s">
        <v>13</v>
      </c>
    </row>
    <row r="96" spans="1:12" x14ac:dyDescent="0.35">
      <c r="A96">
        <v>0.15</v>
      </c>
      <c r="B96" t="s">
        <v>17</v>
      </c>
      <c r="C96">
        <v>0.14380000000000001</v>
      </c>
      <c r="D96">
        <v>0.88360000000000005</v>
      </c>
      <c r="E96">
        <v>1.0525</v>
      </c>
      <c r="F96">
        <v>7.6287000000000003</v>
      </c>
      <c r="G96">
        <v>0.50009999999999999</v>
      </c>
      <c r="H96">
        <v>8.1288</v>
      </c>
      <c r="I96">
        <v>3</v>
      </c>
      <c r="J96">
        <v>0</v>
      </c>
      <c r="K96">
        <v>169.87440000000001</v>
      </c>
      <c r="L96" t="s">
        <v>13</v>
      </c>
    </row>
    <row r="97" spans="1:12" x14ac:dyDescent="0.35">
      <c r="A97">
        <v>0.15</v>
      </c>
      <c r="B97" t="s">
        <v>18</v>
      </c>
      <c r="C97">
        <v>0.1636</v>
      </c>
      <c r="D97">
        <v>1.0709</v>
      </c>
      <c r="E97">
        <v>1.2567999999999999</v>
      </c>
      <c r="F97">
        <v>7.5505000000000004</v>
      </c>
      <c r="G97">
        <v>0.66679999999999995</v>
      </c>
      <c r="H97">
        <v>8.2172999999999998</v>
      </c>
      <c r="I97">
        <v>4</v>
      </c>
      <c r="J97">
        <v>0</v>
      </c>
      <c r="K97">
        <v>178.93690000000001</v>
      </c>
      <c r="L97" t="s">
        <v>13</v>
      </c>
    </row>
    <row r="98" spans="1:12" x14ac:dyDescent="0.35">
      <c r="A98">
        <v>0.15</v>
      </c>
      <c r="B98" t="s">
        <v>19</v>
      </c>
      <c r="C98">
        <v>0.23719999999999999</v>
      </c>
      <c r="D98">
        <v>3.7179000000000002</v>
      </c>
      <c r="E98">
        <v>3.9664999999999999</v>
      </c>
      <c r="F98">
        <v>7.5505000000000004</v>
      </c>
      <c r="G98">
        <v>0.50009999999999999</v>
      </c>
      <c r="H98">
        <v>8.0505999999999993</v>
      </c>
      <c r="I98">
        <v>3</v>
      </c>
      <c r="J98">
        <v>0</v>
      </c>
      <c r="K98">
        <v>186.43690000000001</v>
      </c>
      <c r="L98" t="s">
        <v>13</v>
      </c>
    </row>
    <row r="99" spans="1:12" x14ac:dyDescent="0.35">
      <c r="A99">
        <v>0.15</v>
      </c>
      <c r="B99" t="s">
        <v>20</v>
      </c>
      <c r="C99">
        <v>0.151</v>
      </c>
      <c r="D99">
        <v>1.9265000000000001</v>
      </c>
      <c r="E99">
        <v>2.0962000000000001</v>
      </c>
      <c r="F99">
        <v>7.6775000000000002</v>
      </c>
      <c r="G99">
        <v>0.50009999999999999</v>
      </c>
      <c r="H99">
        <v>8.1776</v>
      </c>
      <c r="I99">
        <v>3</v>
      </c>
      <c r="J99">
        <v>0</v>
      </c>
      <c r="K99">
        <v>181.81190000000001</v>
      </c>
      <c r="L99" t="s">
        <v>13</v>
      </c>
    </row>
    <row r="100" spans="1:12" x14ac:dyDescent="0.35">
      <c r="A100">
        <v>0.15</v>
      </c>
      <c r="B100" t="s">
        <v>21</v>
      </c>
      <c r="C100">
        <v>0.35859999999999997</v>
      </c>
      <c r="D100">
        <v>1.1580999999999999</v>
      </c>
      <c r="E100">
        <v>1.5457000000000001</v>
      </c>
      <c r="F100">
        <v>7.3437000000000001</v>
      </c>
      <c r="G100">
        <v>0.83350000000000002</v>
      </c>
      <c r="H100">
        <v>8.1771999999999991</v>
      </c>
      <c r="I100">
        <v>5</v>
      </c>
      <c r="J100">
        <v>0</v>
      </c>
      <c r="K100">
        <v>174.37440000000001</v>
      </c>
      <c r="L100" t="s">
        <v>13</v>
      </c>
    </row>
    <row r="101" spans="1:12" x14ac:dyDescent="0.35">
      <c r="A101">
        <v>0.15</v>
      </c>
      <c r="B101" t="s">
        <v>22</v>
      </c>
      <c r="C101">
        <v>0.32569999999999999</v>
      </c>
      <c r="D101">
        <v>1.2229000000000001</v>
      </c>
      <c r="E101">
        <v>1.5785</v>
      </c>
      <c r="F101">
        <v>7.3064999999999998</v>
      </c>
      <c r="G101">
        <v>0.83350000000000002</v>
      </c>
      <c r="H101">
        <v>8.14</v>
      </c>
      <c r="I101">
        <v>5</v>
      </c>
      <c r="J101">
        <v>0</v>
      </c>
      <c r="K101">
        <v>158.81190000000001</v>
      </c>
      <c r="L101" t="s">
        <v>13</v>
      </c>
    </row>
    <row r="102" spans="1:12" x14ac:dyDescent="0.35">
      <c r="A102">
        <v>0.15</v>
      </c>
      <c r="B102" t="s">
        <v>23</v>
      </c>
      <c r="C102">
        <v>0.25319999999999998</v>
      </c>
      <c r="D102">
        <v>55.766199999999998</v>
      </c>
      <c r="E102">
        <v>56.040199999999999</v>
      </c>
      <c r="F102">
        <v>7.4352999999999998</v>
      </c>
      <c r="G102">
        <v>0.66679999999999995</v>
      </c>
      <c r="H102">
        <v>8.1021000000000001</v>
      </c>
      <c r="I102">
        <v>4</v>
      </c>
      <c r="J102">
        <v>0</v>
      </c>
      <c r="K102">
        <v>141.37440000000001</v>
      </c>
      <c r="L102" t="s">
        <v>13</v>
      </c>
    </row>
    <row r="103" spans="1:12" x14ac:dyDescent="0.35">
      <c r="A103">
        <v>0.15</v>
      </c>
      <c r="B103" t="s">
        <v>24</v>
      </c>
      <c r="C103">
        <v>0.2031</v>
      </c>
      <c r="D103">
        <v>37.229799999999997</v>
      </c>
      <c r="E103">
        <v>37.480600000000003</v>
      </c>
      <c r="F103">
        <v>7.3825000000000003</v>
      </c>
      <c r="G103">
        <v>0.83350000000000002</v>
      </c>
      <c r="H103">
        <v>8.2159999999999993</v>
      </c>
      <c r="I103">
        <v>5</v>
      </c>
      <c r="J103">
        <v>0</v>
      </c>
      <c r="K103">
        <v>115.24939999999999</v>
      </c>
      <c r="L103" t="s">
        <v>13</v>
      </c>
    </row>
    <row r="104" spans="1:12" x14ac:dyDescent="0.35">
      <c r="A104">
        <v>0.15</v>
      </c>
      <c r="B104" t="s">
        <v>25</v>
      </c>
      <c r="C104">
        <v>0.30609999999999998</v>
      </c>
      <c r="D104">
        <v>225.7466</v>
      </c>
      <c r="E104">
        <v>226.0941</v>
      </c>
      <c r="F104">
        <v>7.3387000000000002</v>
      </c>
      <c r="G104">
        <v>0.83350000000000002</v>
      </c>
      <c r="H104">
        <v>8.1722000000000001</v>
      </c>
      <c r="I104">
        <v>5</v>
      </c>
      <c r="J104">
        <v>0</v>
      </c>
      <c r="K104">
        <v>102.62439999999999</v>
      </c>
      <c r="L104" t="s">
        <v>13</v>
      </c>
    </row>
    <row r="105" spans="1:12" x14ac:dyDescent="0.35">
      <c r="A105">
        <v>0.15</v>
      </c>
      <c r="B105" t="s">
        <v>26</v>
      </c>
      <c r="C105">
        <v>0.14849999999999999</v>
      </c>
      <c r="D105">
        <v>1.9176</v>
      </c>
      <c r="E105">
        <v>2.2351999999999999</v>
      </c>
      <c r="F105">
        <v>7.5382999999999996</v>
      </c>
      <c r="G105">
        <v>0.66679999999999995</v>
      </c>
      <c r="H105">
        <v>8.2050999999999998</v>
      </c>
      <c r="I105">
        <v>4</v>
      </c>
      <c r="J105">
        <v>0</v>
      </c>
      <c r="K105">
        <v>95.186899999999994</v>
      </c>
      <c r="L105" t="s">
        <v>13</v>
      </c>
    </row>
    <row r="106" spans="1:12" x14ac:dyDescent="0.35">
      <c r="A106">
        <v>0.15</v>
      </c>
      <c r="B106" t="s">
        <v>27</v>
      </c>
      <c r="C106">
        <v>0.14069999999999999</v>
      </c>
      <c r="D106">
        <v>2.6577999999999999</v>
      </c>
      <c r="E106">
        <v>2.8104</v>
      </c>
      <c r="F106">
        <v>7.5303000000000004</v>
      </c>
      <c r="G106">
        <v>0.66679999999999995</v>
      </c>
      <c r="H106">
        <v>8.1971000000000007</v>
      </c>
      <c r="I106">
        <v>4</v>
      </c>
      <c r="J106">
        <v>0</v>
      </c>
      <c r="K106">
        <v>108.18689999999999</v>
      </c>
      <c r="L106" t="s">
        <v>13</v>
      </c>
    </row>
    <row r="107" spans="1:12" x14ac:dyDescent="0.35">
      <c r="A107">
        <v>0.15</v>
      </c>
      <c r="B107" t="s">
        <v>28</v>
      </c>
      <c r="C107">
        <v>0.25109999999999999</v>
      </c>
      <c r="D107">
        <v>71.390299999999996</v>
      </c>
      <c r="E107">
        <v>71.697299999999998</v>
      </c>
      <c r="F107">
        <v>7.3414999999999999</v>
      </c>
      <c r="G107">
        <v>0.83350000000000002</v>
      </c>
      <c r="H107">
        <v>8.1750000000000007</v>
      </c>
      <c r="I107">
        <v>5</v>
      </c>
      <c r="J107">
        <v>0</v>
      </c>
      <c r="K107">
        <v>89.874399999999994</v>
      </c>
      <c r="L107" t="s">
        <v>13</v>
      </c>
    </row>
    <row r="108" spans="1:12" x14ac:dyDescent="0.35">
      <c r="A108">
        <v>0.15</v>
      </c>
      <c r="B108" t="s">
        <v>29</v>
      </c>
      <c r="C108">
        <v>0.26590000000000003</v>
      </c>
      <c r="D108">
        <v>0.94989999999999997</v>
      </c>
      <c r="E108">
        <v>1.2359</v>
      </c>
      <c r="F108">
        <v>7.2359999999999998</v>
      </c>
      <c r="G108">
        <v>0.83350000000000002</v>
      </c>
      <c r="H108">
        <v>8.0694999999999997</v>
      </c>
      <c r="I108">
        <v>5</v>
      </c>
      <c r="J108">
        <v>0</v>
      </c>
      <c r="K108">
        <v>77.749399999999994</v>
      </c>
      <c r="L108" t="s">
        <v>13</v>
      </c>
    </row>
    <row r="109" spans="1:12" x14ac:dyDescent="0.35">
      <c r="A109">
        <v>0.15</v>
      </c>
      <c r="B109" t="s">
        <v>30</v>
      </c>
      <c r="C109">
        <v>0.31040000000000001</v>
      </c>
      <c r="D109">
        <v>0.34789999999999999</v>
      </c>
      <c r="E109">
        <v>0.6976</v>
      </c>
      <c r="F109">
        <v>7.3647999999999998</v>
      </c>
      <c r="G109">
        <v>0.83350000000000002</v>
      </c>
      <c r="H109">
        <v>8.1982999999999997</v>
      </c>
      <c r="I109">
        <v>5</v>
      </c>
      <c r="J109">
        <v>0</v>
      </c>
      <c r="K109">
        <v>57.374400000000001</v>
      </c>
      <c r="L10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49C6-441B-4E8E-BA10-E9E2277CA26E}">
  <dimension ref="A3:L10"/>
  <sheetViews>
    <sheetView topLeftCell="E1" workbookViewId="0">
      <selection activeCell="F3" sqref="F3:I9"/>
    </sheetView>
  </sheetViews>
  <sheetFormatPr defaultRowHeight="14.5" x14ac:dyDescent="0.35"/>
  <cols>
    <col min="1" max="1" width="17" bestFit="1" customWidth="1"/>
    <col min="2" max="2" width="34.54296875" bestFit="1" customWidth="1"/>
    <col min="3" max="3" width="37.1796875" bestFit="1" customWidth="1"/>
    <col min="4" max="4" width="35.1796875" bestFit="1" customWidth="1"/>
    <col min="6" max="6" width="8.7265625" style="5"/>
    <col min="7" max="7" width="19.54296875" style="5" customWidth="1"/>
    <col min="8" max="8" width="19.1796875" customWidth="1"/>
    <col min="9" max="9" width="18.81640625" customWidth="1"/>
  </cols>
  <sheetData>
    <row r="3" spans="1:12" ht="28" x14ac:dyDescent="0.35">
      <c r="A3" s="3" t="s">
        <v>32</v>
      </c>
      <c r="B3" t="s">
        <v>34</v>
      </c>
      <c r="C3" t="s">
        <v>35</v>
      </c>
      <c r="D3" t="s">
        <v>31</v>
      </c>
      <c r="F3" s="11" t="s">
        <v>36</v>
      </c>
      <c r="G3" s="10" t="s">
        <v>38</v>
      </c>
      <c r="H3" s="10" t="s">
        <v>39</v>
      </c>
      <c r="I3" s="10" t="s">
        <v>37</v>
      </c>
    </row>
    <row r="4" spans="1:12" x14ac:dyDescent="0.35">
      <c r="A4" s="4">
        <v>0.1</v>
      </c>
      <c r="B4">
        <v>0</v>
      </c>
      <c r="C4">
        <v>2469.3023000000003</v>
      </c>
      <c r="D4">
        <v>1083.7973999999999</v>
      </c>
      <c r="F4" s="8">
        <v>0.1</v>
      </c>
      <c r="G4" s="7">
        <v>0</v>
      </c>
      <c r="H4" s="9">
        <v>2469.3023000000003</v>
      </c>
      <c r="I4" s="12">
        <v>1083.7973999999999</v>
      </c>
      <c r="L4" s="6"/>
    </row>
    <row r="5" spans="1:12" x14ac:dyDescent="0.35">
      <c r="A5" s="4">
        <v>0.11</v>
      </c>
      <c r="B5">
        <v>0</v>
      </c>
      <c r="C5">
        <v>2506.6142000000004</v>
      </c>
      <c r="D5">
        <v>1992.6475999999998</v>
      </c>
      <c r="F5" s="8">
        <v>0.11</v>
      </c>
      <c r="G5" s="7">
        <v>0</v>
      </c>
      <c r="H5" s="9">
        <v>2506.6142000000004</v>
      </c>
      <c r="I5" s="12">
        <v>1992.6475999999998</v>
      </c>
      <c r="L5" s="6">
        <f>H5-H4</f>
        <v>37.311900000000151</v>
      </c>
    </row>
    <row r="6" spans="1:12" x14ac:dyDescent="0.35">
      <c r="A6" s="4">
        <v>0.12</v>
      </c>
      <c r="B6">
        <v>0</v>
      </c>
      <c r="C6">
        <v>2554.6148000000003</v>
      </c>
      <c r="D6">
        <v>554.02319999999997</v>
      </c>
      <c r="F6" s="8">
        <v>0.12</v>
      </c>
      <c r="G6" s="7">
        <v>0</v>
      </c>
      <c r="H6" s="9">
        <v>2554.6148000000003</v>
      </c>
      <c r="I6" s="12">
        <v>554.02319999999997</v>
      </c>
      <c r="L6" s="6">
        <f>H6-H5</f>
        <v>48.000599999999849</v>
      </c>
    </row>
    <row r="7" spans="1:12" x14ac:dyDescent="0.35">
      <c r="A7" s="4">
        <v>0.13</v>
      </c>
      <c r="B7">
        <v>0</v>
      </c>
      <c r="C7">
        <v>2642.4892000000004</v>
      </c>
      <c r="D7">
        <v>670.9697000000001</v>
      </c>
      <c r="F7" s="8">
        <v>0.13</v>
      </c>
      <c r="G7" s="7">
        <v>0</v>
      </c>
      <c r="H7" s="9">
        <v>2642.4892000000004</v>
      </c>
      <c r="I7" s="12">
        <v>670.9697000000001</v>
      </c>
      <c r="L7" s="6">
        <f>H7-H6</f>
        <v>87.874400000000151</v>
      </c>
    </row>
    <row r="8" spans="1:12" x14ac:dyDescent="0.35">
      <c r="A8" s="4">
        <v>0.14000000000000001</v>
      </c>
      <c r="B8">
        <v>0</v>
      </c>
      <c r="C8">
        <v>2575.2392000000004</v>
      </c>
      <c r="D8">
        <v>867.32920000000001</v>
      </c>
      <c r="F8" s="8">
        <v>0.14000000000000001</v>
      </c>
      <c r="G8" s="7">
        <v>0</v>
      </c>
      <c r="H8" s="9">
        <v>2575.2392000000004</v>
      </c>
      <c r="I8" s="12">
        <v>867.32920000000001</v>
      </c>
      <c r="L8" s="6">
        <f>H8-H7</f>
        <v>-67.25</v>
      </c>
    </row>
    <row r="9" spans="1:12" x14ac:dyDescent="0.35">
      <c r="A9" s="4">
        <v>0.15</v>
      </c>
      <c r="B9">
        <v>0</v>
      </c>
      <c r="C9">
        <v>2584.4267000000004</v>
      </c>
      <c r="D9">
        <v>417.40670000000006</v>
      </c>
      <c r="F9" s="13">
        <v>0.15</v>
      </c>
      <c r="G9" s="14">
        <v>0</v>
      </c>
      <c r="H9" s="15">
        <v>2584.4267000000004</v>
      </c>
      <c r="I9" s="16">
        <v>417.40670000000006</v>
      </c>
      <c r="L9" s="6">
        <f>H9-H8</f>
        <v>9.1875</v>
      </c>
    </row>
    <row r="10" spans="1:12" x14ac:dyDescent="0.35">
      <c r="A10" s="2" t="s">
        <v>33</v>
      </c>
      <c r="B10">
        <v>0</v>
      </c>
      <c r="C10">
        <v>15332.686400000002</v>
      </c>
      <c r="D10">
        <v>5586.1738000000005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Gabriely Amanda (Logística SRS)</cp:lastModifiedBy>
  <dcterms:created xsi:type="dcterms:W3CDTF">2026-04-20T21:45:02Z</dcterms:created>
  <dcterms:modified xsi:type="dcterms:W3CDTF">2026-04-23T13:13:29Z</dcterms:modified>
</cp:coreProperties>
</file>